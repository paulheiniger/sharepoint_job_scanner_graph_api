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ro365531128.sharepoint.com/sites/Data/Documents/2026 INSULATION/"/>
    </mc:Choice>
  </mc:AlternateContent>
  <xr:revisionPtr revIDLastSave="0" documentId="8_{3393C372-C9CE-4880-A239-64D9693D939E}" xr6:coauthVersionLast="47" xr6:coauthVersionMax="47" xr10:uidLastSave="{00000000-0000-0000-0000-000000000000}"/>
  <bookViews>
    <workbookView xWindow="-28920" yWindow="-870" windowWidth="29040" windowHeight="17520" firstSheet="3" activeTab="3" xr2:uid="{00000000-000D-0000-FFFF-FFFF00000000}"/>
  </bookViews>
  <sheets>
    <sheet name="Estimate" sheetId="1" r:id="rId1"/>
    <sheet name="People" sheetId="3" r:id="rId2"/>
    <sheet name="Job Spec" sheetId="11" r:id="rId3"/>
    <sheet name="Tracking" sheetId="12" r:id="rId4"/>
    <sheet name="Extras" sheetId="14" r:id="rId5"/>
    <sheet name="Materials" sheetId="5" r:id="rId6"/>
    <sheet name="Sq Ft Calculation" sheetId="9" r:id="rId7"/>
  </sheets>
  <definedNames>
    <definedName name="Coating_Databas">Estimate!#REF!</definedName>
    <definedName name="_xlnm.Print_Area">Estimate!$1:$10211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2" l="1"/>
  <c r="P21" i="12"/>
  <c r="O21" i="12"/>
  <c r="N21" i="12"/>
  <c r="K21" i="12"/>
  <c r="J21" i="12"/>
  <c r="I21" i="12"/>
  <c r="H20" i="12"/>
  <c r="G21" i="12"/>
  <c r="F21" i="12"/>
  <c r="C21" i="12"/>
  <c r="D21" i="12"/>
  <c r="B21" i="12"/>
  <c r="B1" i="11"/>
  <c r="A2" i="12" s="1"/>
  <c r="G3" i="11" l="1"/>
  <c r="B32" i="1"/>
  <c r="B31" i="1"/>
  <c r="B30" i="1"/>
  <c r="B21" i="1"/>
  <c r="B20" i="1"/>
  <c r="B19" i="1"/>
  <c r="O25" i="12"/>
  <c r="J25" i="12"/>
  <c r="G25" i="12"/>
  <c r="F25" i="12"/>
  <c r="D25" i="12"/>
  <c r="C25" i="12"/>
  <c r="P27" i="12"/>
  <c r="O27" i="12"/>
  <c r="N27" i="12"/>
  <c r="J27" i="12"/>
  <c r="I27" i="12"/>
  <c r="H27" i="12"/>
  <c r="G27" i="12"/>
  <c r="F27" i="12"/>
  <c r="D27" i="12"/>
  <c r="C27" i="12"/>
  <c r="B27" i="12"/>
  <c r="P24" i="12"/>
  <c r="O24" i="12"/>
  <c r="N24" i="12"/>
  <c r="J24" i="12"/>
  <c r="I24" i="12"/>
  <c r="G24" i="12"/>
  <c r="F24" i="12"/>
  <c r="D24" i="12"/>
  <c r="C24" i="12"/>
  <c r="B24" i="12"/>
  <c r="I28" i="12"/>
  <c r="H21" i="12"/>
  <c r="E20" i="12"/>
  <c r="E21" i="12" s="1"/>
  <c r="P18" i="12"/>
  <c r="P28" i="12" s="1"/>
  <c r="K18" i="12"/>
  <c r="P17" i="12"/>
  <c r="K17" i="12"/>
  <c r="P16" i="12"/>
  <c r="K16" i="12"/>
  <c r="C28" i="12" l="1"/>
  <c r="J28" i="12"/>
  <c r="O28" i="12"/>
  <c r="K28" i="12"/>
  <c r="D28" i="12"/>
  <c r="F29" i="12"/>
  <c r="J29" i="12"/>
  <c r="H29" i="12"/>
  <c r="G29" i="12"/>
  <c r="D29" i="12"/>
  <c r="H28" i="12"/>
  <c r="C29" i="12"/>
  <c r="G28" i="12"/>
  <c r="O29" i="12"/>
  <c r="F28" i="12"/>
  <c r="D46" i="11" l="1"/>
  <c r="B51" i="11"/>
  <c r="B54" i="11"/>
  <c r="B53" i="11"/>
  <c r="B52" i="11"/>
  <c r="G42" i="11"/>
  <c r="E42" i="11"/>
  <c r="B42" i="11"/>
  <c r="G41" i="11"/>
  <c r="F41" i="11"/>
  <c r="E41" i="11"/>
  <c r="B41" i="11"/>
  <c r="G40" i="11"/>
  <c r="F40" i="11"/>
  <c r="E40" i="11"/>
  <c r="B40" i="11"/>
  <c r="G39" i="11"/>
  <c r="F39" i="11"/>
  <c r="E39" i="11"/>
  <c r="B39" i="11"/>
  <c r="B6" i="11"/>
  <c r="B5" i="11"/>
  <c r="B10" i="11"/>
  <c r="G10" i="11"/>
  <c r="B4" i="11"/>
  <c r="B3" i="11"/>
  <c r="B2" i="11"/>
  <c r="D1" i="11"/>
  <c r="H55" i="1"/>
  <c r="H53" i="1"/>
  <c r="G43" i="1" l="1"/>
  <c r="G41" i="1"/>
  <c r="H41" i="1" s="1"/>
  <c r="H50" i="1"/>
  <c r="H48" i="1"/>
  <c r="B48" i="1"/>
  <c r="H47" i="1"/>
  <c r="B47" i="1"/>
  <c r="B43" i="1"/>
  <c r="B41" i="1"/>
  <c r="H43" i="1" l="1"/>
  <c r="H24" i="1"/>
  <c r="G21" i="1" l="1"/>
  <c r="G20" i="1"/>
  <c r="G19" i="1"/>
  <c r="E15" i="9"/>
  <c r="E14" i="9"/>
  <c r="E13" i="9"/>
  <c r="E12" i="9"/>
  <c r="E11" i="9"/>
  <c r="E10" i="9"/>
  <c r="E9" i="9"/>
  <c r="E8" i="9"/>
  <c r="E7" i="9"/>
  <c r="E6" i="9"/>
  <c r="E5" i="9"/>
  <c r="E4" i="9"/>
  <c r="H19" i="1" l="1"/>
  <c r="D39" i="11"/>
  <c r="H20" i="1"/>
  <c r="D40" i="11"/>
  <c r="H21" i="1"/>
  <c r="D41" i="11"/>
  <c r="F15" i="9"/>
  <c r="D12" i="1" s="1"/>
  <c r="G26" i="1"/>
  <c r="G32" i="1"/>
  <c r="H32" i="1" s="1"/>
  <c r="G31" i="1"/>
  <c r="H31" i="1" s="1"/>
  <c r="G30" i="1"/>
  <c r="H30" i="1" l="1"/>
  <c r="N25" i="12"/>
  <c r="D42" i="11"/>
  <c r="H26" i="1"/>
  <c r="H61" i="1"/>
  <c r="G63" i="1"/>
  <c r="H63" i="1" s="1"/>
  <c r="N29" i="12" l="1"/>
  <c r="N28" i="12"/>
  <c r="H59" i="1"/>
  <c r="H57" i="1"/>
  <c r="H95" i="1" l="1"/>
  <c r="D3" i="3" l="1"/>
  <c r="D12" i="3" s="1"/>
  <c r="H97" i="1"/>
  <c r="H68" i="1"/>
  <c r="H70" i="1" l="1"/>
  <c r="D103" i="1"/>
  <c r="B8" i="11" s="1"/>
  <c r="B37" i="1"/>
  <c r="G92" i="1"/>
  <c r="G90" i="1"/>
  <c r="G88" i="1"/>
  <c r="G86" i="1"/>
  <c r="G84" i="1"/>
  <c r="G82" i="1"/>
  <c r="G80" i="1"/>
  <c r="G78" i="1"/>
  <c r="D92" i="1"/>
  <c r="D90" i="1"/>
  <c r="D88" i="1"/>
  <c r="D86" i="1"/>
  <c r="D84" i="1"/>
  <c r="D82" i="1"/>
  <c r="D80" i="1"/>
  <c r="D78" i="1"/>
  <c r="K10" i="3"/>
  <c r="K9" i="3"/>
  <c r="J9" i="3"/>
  <c r="K8" i="3"/>
  <c r="J8" i="3"/>
  <c r="I8" i="3"/>
  <c r="K7" i="3"/>
  <c r="J7" i="3"/>
  <c r="I7" i="3"/>
  <c r="H7" i="3"/>
  <c r="K6" i="3"/>
  <c r="J6" i="3"/>
  <c r="I6" i="3"/>
  <c r="H6" i="3"/>
  <c r="G6" i="3"/>
  <c r="K5" i="3"/>
  <c r="J5" i="3"/>
  <c r="I5" i="3"/>
  <c r="H5" i="3"/>
  <c r="G5" i="3"/>
  <c r="F5" i="3"/>
  <c r="K4" i="3"/>
  <c r="J4" i="3"/>
  <c r="I4" i="3"/>
  <c r="H4" i="3"/>
  <c r="G4" i="3"/>
  <c r="F4" i="3"/>
  <c r="E4" i="3"/>
  <c r="K3" i="3"/>
  <c r="J3" i="3"/>
  <c r="I3" i="3"/>
  <c r="H3" i="3"/>
  <c r="G3" i="3"/>
  <c r="F3" i="3"/>
  <c r="E3" i="3"/>
  <c r="E3" i="5"/>
  <c r="E2" i="5"/>
  <c r="H100" i="1"/>
  <c r="H109" i="1"/>
  <c r="H111" i="1"/>
  <c r="B25" i="12" l="1"/>
  <c r="B9" i="11"/>
  <c r="H114" i="1"/>
  <c r="B103" i="1"/>
  <c r="D137" i="1"/>
  <c r="G37" i="1"/>
  <c r="G65" i="1" s="1"/>
  <c r="E12" i="3"/>
  <c r="I12" i="3"/>
  <c r="F12" i="3"/>
  <c r="J88" i="1" s="1"/>
  <c r="H88" i="1" s="1"/>
  <c r="G12" i="3"/>
  <c r="K12" i="3"/>
  <c r="H12" i="3"/>
  <c r="J12" i="3"/>
  <c r="B29" i="12" l="1"/>
  <c r="B28" i="12"/>
  <c r="J90" i="1"/>
  <c r="H90" i="1" s="1"/>
  <c r="J84" i="1"/>
  <c r="H84" i="1" s="1"/>
  <c r="J82" i="1"/>
  <c r="H82" i="1" s="1"/>
  <c r="J78" i="1"/>
  <c r="H78" i="1" s="1"/>
  <c r="J92" i="1"/>
  <c r="H92" i="1" s="1"/>
  <c r="J86" i="1"/>
  <c r="H86" i="1" s="1"/>
  <c r="J80" i="1"/>
  <c r="H80" i="1" s="1"/>
  <c r="H65" i="1"/>
  <c r="H37" i="1"/>
  <c r="H103" i="1" l="1"/>
  <c r="H72" i="1"/>
  <c r="H116" i="1" l="1"/>
  <c r="H73" i="1"/>
  <c r="H118" i="1" l="1"/>
  <c r="H120" i="1" l="1"/>
  <c r="H122" i="1" s="1"/>
  <c r="H123" i="1" s="1"/>
  <c r="B137" i="1" s="1"/>
  <c r="E25" i="12"/>
  <c r="E29" i="12" l="1"/>
  <c r="E28" i="12"/>
</calcChain>
</file>

<file path=xl/sharedStrings.xml><?xml version="1.0" encoding="utf-8"?>
<sst xmlns="http://schemas.openxmlformats.org/spreadsheetml/2006/main" count="267" uniqueCount="208">
  <si>
    <t>Today's Date:</t>
  </si>
  <si>
    <t>Bill To Address:</t>
  </si>
  <si>
    <t>Job Name:</t>
  </si>
  <si>
    <t>City, State, Zip:</t>
  </si>
  <si>
    <t>Job Type:</t>
  </si>
  <si>
    <t>Contact:</t>
  </si>
  <si>
    <t>Site Address:</t>
  </si>
  <si>
    <t>Email Address:</t>
  </si>
  <si>
    <t>Phone:</t>
  </si>
  <si>
    <t>Fax:</t>
  </si>
  <si>
    <t>Title:</t>
  </si>
  <si>
    <t>Estimator</t>
  </si>
  <si>
    <t>Est. Square Feet:</t>
  </si>
  <si>
    <t>Materials</t>
  </si>
  <si>
    <t>*</t>
  </si>
  <si>
    <t>Type</t>
  </si>
  <si>
    <t>Sq. Ft.</t>
  </si>
  <si>
    <t>Unit Price</t>
  </si>
  <si>
    <t>Est. Units</t>
  </si>
  <si>
    <t>Est. Cost</t>
  </si>
  <si>
    <t>Foam</t>
  </si>
  <si>
    <t>Mfg:</t>
  </si>
  <si>
    <t>Gaco = 1, NCFI = 2, AccuFoam = 3, OTHER = 4</t>
  </si>
  <si>
    <t>Types:</t>
  </si>
  <si>
    <t>2.0 lb. = 1, 0.5 lb. = 2</t>
  </si>
  <si>
    <t>Thickness</t>
  </si>
  <si>
    <t>Linear Ft.</t>
  </si>
  <si>
    <t>Membrane</t>
  </si>
  <si>
    <t>Primer</t>
  </si>
  <si>
    <t>Coating</t>
  </si>
  <si>
    <t>DC 315 TB = 1, Acrylic = 2, NoBurn TB = 3</t>
  </si>
  <si>
    <t>Gal / Sq.</t>
  </si>
  <si>
    <t>Margin %:</t>
  </si>
  <si>
    <t>Thinner</t>
  </si>
  <si>
    <t>Naphtha VM&amp;P = 1, Mineral Spirits = 2, Xylene= 3</t>
  </si>
  <si>
    <t>Caulk/Sealant</t>
  </si>
  <si>
    <t>Can Foam = 1, Liquid Flashing = 2, Pointing Mastic = 3</t>
  </si>
  <si>
    <t>Ft. / Unit</t>
  </si>
  <si>
    <t>Lift</t>
  </si>
  <si>
    <t xml:space="preserve">Forklift = 1, Boom = 2, Scissor = 3, Articulating = 4 </t>
  </si>
  <si>
    <t>Size</t>
  </si>
  <si>
    <t>Period</t>
  </si>
  <si>
    <t>Margin %</t>
  </si>
  <si>
    <t>20'</t>
  </si>
  <si>
    <t>Delivery Fee</t>
  </si>
  <si>
    <t>Est. Days</t>
  </si>
  <si>
    <t>Generator</t>
  </si>
  <si>
    <t>Space Heater</t>
  </si>
  <si>
    <t>Misc.</t>
  </si>
  <si>
    <t>Freight</t>
  </si>
  <si>
    <t>ABAA Audits</t>
  </si>
  <si>
    <t>ABAA Fee</t>
  </si>
  <si>
    <t>Drum Disp.</t>
  </si>
  <si>
    <t>No. of Trips</t>
  </si>
  <si>
    <t>R.T. Miles</t>
  </si>
  <si>
    <t>Sales/Inspect.</t>
  </si>
  <si>
    <t>Truck Exp.</t>
  </si>
  <si>
    <t>*****************</t>
  </si>
  <si>
    <t>Subtotal Materials</t>
  </si>
  <si>
    <t>Sales Tax %</t>
  </si>
  <si>
    <t>Labor / Subcontractor</t>
  </si>
  <si>
    <t>Days</t>
  </si>
  <si>
    <t>No. of People</t>
  </si>
  <si>
    <t>Total Hours</t>
  </si>
  <si>
    <t>Prevailing Wage</t>
  </si>
  <si>
    <t>Fringe</t>
  </si>
  <si>
    <t>Total Prevailing Wage</t>
  </si>
  <si>
    <t>Daily Rate</t>
  </si>
  <si>
    <t>Set Up</t>
  </si>
  <si>
    <t>Mask</t>
  </si>
  <si>
    <t>Prime</t>
  </si>
  <si>
    <t>NoBurn</t>
  </si>
  <si>
    <t>Clean Up</t>
  </si>
  <si>
    <t>Est. Hours / Day</t>
  </si>
  <si>
    <t>Est. Rate</t>
  </si>
  <si>
    <t>Loading</t>
  </si>
  <si>
    <t xml:space="preserve">Traveling </t>
  </si>
  <si>
    <t>No. of Days</t>
  </si>
  <si>
    <t>Meals, Lodging Expenses</t>
  </si>
  <si>
    <t>Total Days</t>
  </si>
  <si>
    <t>Subtotal Labor / Subcontractor</t>
  </si>
  <si>
    <t>Bonding and Insurance</t>
  </si>
  <si>
    <t>Miscellaneous Insurance</t>
  </si>
  <si>
    <t>Permits</t>
  </si>
  <si>
    <t>Describe:</t>
  </si>
  <si>
    <t>Subtotal Warranty, Bonding, Insurance</t>
  </si>
  <si>
    <t>Total Job Cost</t>
  </si>
  <si>
    <t>Estimated O/H</t>
  </si>
  <si>
    <t>Percentage:</t>
  </si>
  <si>
    <t>Profit</t>
  </si>
  <si>
    <t>Work Sheet Price</t>
  </si>
  <si>
    <t>Work Sheet Price + Additional Amount w/o Markup</t>
  </si>
  <si>
    <t>Additional Amount w/o Markup</t>
  </si>
  <si>
    <t>Summary</t>
  </si>
  <si>
    <t>Price / Sq. Ft:</t>
  </si>
  <si>
    <t>Est. Sets:</t>
  </si>
  <si>
    <t>Crew Size</t>
  </si>
  <si>
    <t>Job Classification</t>
  </si>
  <si>
    <t>Hourly Wage</t>
  </si>
  <si>
    <t>Burden Rate</t>
  </si>
  <si>
    <t>Foreman / Sprayer</t>
  </si>
  <si>
    <t>Sprayer / Trailer</t>
  </si>
  <si>
    <t xml:space="preserve">Trailer / Hose </t>
  </si>
  <si>
    <t>Hose / Laborer</t>
  </si>
  <si>
    <t>Laborer</t>
  </si>
  <si>
    <t>Hours /Day</t>
  </si>
  <si>
    <t>Estimated Cost/Day</t>
  </si>
  <si>
    <t>Crew Leaders</t>
  </si>
  <si>
    <t>Hourly</t>
  </si>
  <si>
    <t>Travel</t>
  </si>
  <si>
    <t>Mariano Perez</t>
  </si>
  <si>
    <t>Gustavo Garcia</t>
  </si>
  <si>
    <t>Carlos Garcia</t>
  </si>
  <si>
    <t>Abel Reyes</t>
  </si>
  <si>
    <t>Santos Ocampo</t>
  </si>
  <si>
    <t>Workers</t>
  </si>
  <si>
    <t>Erik Avila</t>
  </si>
  <si>
    <t>Miguel Avila</t>
  </si>
  <si>
    <t>Juan Loa</t>
  </si>
  <si>
    <t>Gilberto Morales</t>
  </si>
  <si>
    <t>Federico</t>
  </si>
  <si>
    <t>Melvin Lutin</t>
  </si>
  <si>
    <t>Onilson Morales</t>
  </si>
  <si>
    <t>Edvin</t>
  </si>
  <si>
    <t>Pedro Morales</t>
  </si>
  <si>
    <t>Jesus Martinez</t>
  </si>
  <si>
    <t>Andres</t>
  </si>
  <si>
    <t>Alonso??</t>
  </si>
  <si>
    <t>Job Name</t>
  </si>
  <si>
    <t>Address</t>
  </si>
  <si>
    <t>City, State, ZIP</t>
  </si>
  <si>
    <t>Contact Name</t>
  </si>
  <si>
    <t>Cell #</t>
  </si>
  <si>
    <t>Email</t>
  </si>
  <si>
    <t xml:space="preserve">Mobilizations </t>
  </si>
  <si>
    <t>Est. # of Days</t>
  </si>
  <si>
    <t>Est. # of Hours</t>
  </si>
  <si>
    <t>Est. Crew Size</t>
  </si>
  <si>
    <t xml:space="preserve">Total sq. ft. </t>
  </si>
  <si>
    <t xml:space="preserve">Scope of Work: </t>
  </si>
  <si>
    <t>Materials Needed</t>
  </si>
  <si>
    <t>Manufacturer/Product/Color</t>
  </si>
  <si>
    <t xml:space="preserve">Quantity </t>
  </si>
  <si>
    <t xml:space="preserve">~ Sq. Ft. </t>
  </si>
  <si>
    <t xml:space="preserve">Yield. </t>
  </si>
  <si>
    <t>Foam #1</t>
  </si>
  <si>
    <t>Foam #2</t>
  </si>
  <si>
    <t>Foam #3</t>
  </si>
  <si>
    <t>Other Materials</t>
  </si>
  <si>
    <t>Quantity</t>
  </si>
  <si>
    <t xml:space="preserve">Can Foam </t>
  </si>
  <si>
    <t>Plastic + Tape</t>
  </si>
  <si>
    <t>Card Board</t>
  </si>
  <si>
    <t>Vapor Barrior</t>
  </si>
  <si>
    <t>Iso/Backer Board</t>
  </si>
  <si>
    <t xml:space="preserve">Notes: </t>
  </si>
  <si>
    <t>Actual Amounts</t>
  </si>
  <si>
    <t>Labor Hours</t>
  </si>
  <si>
    <t>Travel Hours</t>
  </si>
  <si>
    <t>Load Hours</t>
  </si>
  <si>
    <t>OS Hours</t>
  </si>
  <si>
    <t>Mileage</t>
  </si>
  <si>
    <t>OS Mileage</t>
  </si>
  <si>
    <t>Foam Strokes</t>
  </si>
  <si>
    <t>Thickness (in.)</t>
  </si>
  <si>
    <t>Sq. Ft. (Foam)</t>
  </si>
  <si>
    <t>Foam Yield</t>
  </si>
  <si>
    <t>A-Side Lot #</t>
  </si>
  <si>
    <t>B-Side Lot #</t>
  </si>
  <si>
    <t>Sq. Ft. (Base)</t>
  </si>
  <si>
    <t>Gal/Sq. (Base)</t>
  </si>
  <si>
    <t>Crew</t>
  </si>
  <si>
    <t>Notes</t>
  </si>
  <si>
    <t>Insert Additional Lines Here</t>
  </si>
  <si>
    <t>Daily Totals</t>
  </si>
  <si>
    <t>Estimated Amounts</t>
  </si>
  <si>
    <t>Overhead</t>
  </si>
  <si>
    <t>Foam (lbs.)</t>
  </si>
  <si>
    <t>Over/Under</t>
  </si>
  <si>
    <t>Date</t>
  </si>
  <si>
    <t>Crew Leader</t>
  </si>
  <si>
    <t>Description/Notes</t>
  </si>
  <si>
    <t xml:space="preserve">Additional Materials Used? </t>
  </si>
  <si>
    <t xml:space="preserve">Notified All Parties? </t>
  </si>
  <si>
    <t>Change Order?</t>
  </si>
  <si>
    <t>Associated Cost (+/-)</t>
  </si>
  <si>
    <t>Solvents</t>
  </si>
  <si>
    <t>Cost</t>
  </si>
  <si>
    <t>Unit</t>
  </si>
  <si>
    <t>Per Gal</t>
  </si>
  <si>
    <t>VM&amp;P Natha</t>
  </si>
  <si>
    <t>Xylene</t>
  </si>
  <si>
    <t>Fabric</t>
  </si>
  <si>
    <t>Width</t>
  </si>
  <si>
    <t>4"</t>
  </si>
  <si>
    <t>6"</t>
  </si>
  <si>
    <t>9"</t>
  </si>
  <si>
    <t>12"</t>
  </si>
  <si>
    <t>18"</t>
  </si>
  <si>
    <t>36"</t>
  </si>
  <si>
    <t>48"</t>
  </si>
  <si>
    <t>38.5"</t>
  </si>
  <si>
    <t>Description</t>
  </si>
  <si>
    <t>Height</t>
  </si>
  <si>
    <t>Total</t>
  </si>
  <si>
    <t>Wall</t>
  </si>
  <si>
    <t>Ceiling</t>
  </si>
  <si>
    <t>Gables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</si>
</sst>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&quot;$&quot;#,##0.00"/>
    <numFmt numFmtId="166" formatCode="&quot;$&quot;#,##0.000"/>
    <numFmt numFmtId="167" formatCode="0.0"/>
  </numFmts>
  <fonts count="20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i/>
      <u/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color indexed="10"/>
      <name val="Arial"/>
      <family val="2"/>
    </font>
    <font>
      <b/>
      <sz val="11"/>
      <color indexed="10"/>
      <name val="Arial"/>
      <family val="2"/>
    </font>
    <font>
      <b/>
      <sz val="11"/>
      <color indexed="17"/>
      <name val="Arial"/>
      <family val="2"/>
    </font>
    <font>
      <b/>
      <sz val="11"/>
      <color rgb="FFFF0000"/>
      <name val="Arial"/>
      <family val="2"/>
    </font>
    <font>
      <sz val="11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FBFBF"/>
        <bgColor rgb="FF000000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3" fillId="0" borderId="0"/>
    <xf numFmtId="0" fontId="16" fillId="0" borderId="0" applyNumberFormat="0" applyFill="0" applyBorder="0" applyAlignment="0" applyProtection="0"/>
  </cellStyleXfs>
  <cellXfs count="254">
    <xf numFmtId="0" fontId="0" fillId="0" borderId="0" xfId="0"/>
    <xf numFmtId="0" fontId="6" fillId="0" borderId="0" xfId="0" applyFont="1" applyAlignment="1">
      <alignment horizontal="center" wrapText="1"/>
    </xf>
    <xf numFmtId="0" fontId="0" fillId="0" borderId="2" xfId="0" applyBorder="1"/>
    <xf numFmtId="0" fontId="6" fillId="2" borderId="0" xfId="0" applyFont="1" applyFill="1"/>
    <xf numFmtId="165" fontId="0" fillId="0" borderId="0" xfId="0" applyNumberFormat="1"/>
    <xf numFmtId="0" fontId="6" fillId="0" borderId="0" xfId="0" applyFont="1" applyAlignment="1">
      <alignment horizontal="center"/>
    </xf>
    <xf numFmtId="0" fontId="2" fillId="0" borderId="0" xfId="0" applyFont="1" applyAlignment="1" applyProtection="1">
      <alignment horizontal="left" vertical="center"/>
      <protection locked="0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7" borderId="2" xfId="0" applyFill="1" applyBorder="1"/>
    <xf numFmtId="44" fontId="0" fillId="4" borderId="2" xfId="1" applyFont="1" applyFill="1" applyBorder="1"/>
    <xf numFmtId="0" fontId="0" fillId="4" borderId="2" xfId="0" applyFill="1" applyBorder="1"/>
    <xf numFmtId="0" fontId="7" fillId="0" borderId="0" xfId="1" applyNumberFormat="1" applyFont="1" applyFill="1" applyBorder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2" fontId="7" fillId="0" borderId="0" xfId="0" applyNumberFormat="1" applyFont="1" applyAlignment="1" applyProtection="1">
      <alignment horizontal="right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14" fontId="0" fillId="2" borderId="0" xfId="0" applyNumberFormat="1" applyFill="1" applyAlignment="1" applyProtection="1">
      <alignment horizontal="left" vertical="center"/>
      <protection locked="0"/>
    </xf>
    <xf numFmtId="0" fontId="3" fillId="2" borderId="0" xfId="0" applyFont="1" applyFill="1" applyAlignment="1" applyProtection="1">
      <alignment horizontal="centerContinuous" vertical="center"/>
      <protection locked="0"/>
    </xf>
    <xf numFmtId="0" fontId="3" fillId="2" borderId="0" xfId="0" applyFont="1" applyFill="1" applyAlignment="1" applyProtection="1">
      <alignment vertical="center"/>
      <protection locked="0"/>
    </xf>
    <xf numFmtId="0" fontId="3" fillId="2" borderId="0" xfId="0" applyFont="1" applyFill="1" applyAlignment="1" applyProtection="1">
      <alignment horizontal="left" vertical="center"/>
      <protection locked="0"/>
    </xf>
    <xf numFmtId="0" fontId="3" fillId="4" borderId="0" xfId="0" applyFont="1" applyFill="1" applyAlignment="1" applyProtection="1">
      <alignment vertical="center"/>
      <protection locked="0"/>
    </xf>
    <xf numFmtId="0" fontId="2" fillId="2" borderId="0" xfId="0" applyFont="1" applyFill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right" vertical="center"/>
      <protection locked="0"/>
    </xf>
    <xf numFmtId="0" fontId="3" fillId="0" borderId="0" xfId="0" applyFont="1" applyAlignment="1" applyProtection="1">
      <alignment horizontal="centerContinuous" vertical="center"/>
      <protection locked="0"/>
    </xf>
    <xf numFmtId="3" fontId="3" fillId="3" borderId="0" xfId="0" applyNumberFormat="1" applyFont="1" applyFill="1" applyAlignment="1" applyProtection="1">
      <alignment horizontal="right" vertical="center"/>
      <protection locked="0"/>
    </xf>
    <xf numFmtId="0" fontId="3" fillId="0" borderId="0" xfId="0" applyFont="1" applyAlignment="1" applyProtection="1">
      <alignment horizontal="fill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3" fillId="4" borderId="0" xfId="0" applyFont="1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4" fontId="3" fillId="0" borderId="0" xfId="0" applyNumberFormat="1" applyFont="1" applyAlignment="1" applyProtection="1">
      <alignment horizontal="right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7" fontId="3" fillId="0" borderId="0" xfId="0" applyNumberFormat="1" applyFont="1" applyAlignment="1" applyProtection="1">
      <alignment horizontal="right" vertical="center"/>
      <protection locked="0"/>
    </xf>
    <xf numFmtId="4" fontId="3" fillId="0" borderId="0" xfId="0" applyNumberFormat="1" applyFont="1" applyAlignment="1" applyProtection="1">
      <alignment vertical="center"/>
      <protection locked="0"/>
    </xf>
    <xf numFmtId="3" fontId="3" fillId="2" borderId="7" xfId="0" applyNumberFormat="1" applyFont="1" applyFill="1" applyBorder="1" applyAlignment="1" applyProtection="1">
      <alignment horizontal="center" vertical="center"/>
      <protection locked="0"/>
    </xf>
    <xf numFmtId="2" fontId="3" fillId="2" borderId="8" xfId="0" applyNumberFormat="1" applyFont="1" applyFill="1" applyBorder="1" applyAlignment="1" applyProtection="1">
      <alignment horizontal="center" vertical="center"/>
      <protection locked="0"/>
    </xf>
    <xf numFmtId="7" fontId="3" fillId="2" borderId="8" xfId="0" applyNumberFormat="1" applyFont="1" applyFill="1" applyBorder="1" applyAlignment="1" applyProtection="1">
      <alignment horizontal="right" vertical="center"/>
      <protection locked="0"/>
    </xf>
    <xf numFmtId="0" fontId="3" fillId="4" borderId="0" xfId="0" applyFont="1" applyFill="1" applyAlignment="1" applyProtection="1">
      <alignment horizontal="right" vertical="center"/>
      <protection locked="0"/>
    </xf>
    <xf numFmtId="7" fontId="3" fillId="2" borderId="0" xfId="0" applyNumberFormat="1" applyFont="1" applyFill="1" applyAlignment="1" applyProtection="1">
      <alignment horizontal="right" vertical="center"/>
      <protection locked="0"/>
    </xf>
    <xf numFmtId="3" fontId="3" fillId="0" borderId="0" xfId="0" applyNumberFormat="1" applyFont="1" applyAlignment="1" applyProtection="1">
      <alignment horizontal="center" vertical="center"/>
      <protection locked="0"/>
    </xf>
    <xf numFmtId="2" fontId="3" fillId="0" borderId="0" xfId="0" applyNumberFormat="1" applyFont="1" applyAlignment="1" applyProtection="1">
      <alignment horizontal="center" vertical="center"/>
      <protection locked="0"/>
    </xf>
    <xf numFmtId="2" fontId="3" fillId="2" borderId="0" xfId="0" applyNumberFormat="1" applyFont="1" applyFill="1" applyAlignment="1" applyProtection="1">
      <alignment horizontal="center" vertical="center"/>
      <protection locked="0"/>
    </xf>
    <xf numFmtId="3" fontId="3" fillId="0" borderId="0" xfId="0" applyNumberFormat="1" applyFont="1" applyAlignment="1" applyProtection="1">
      <alignment vertical="center"/>
      <protection locked="0"/>
    </xf>
    <xf numFmtId="2" fontId="3" fillId="0" borderId="0" xfId="0" applyNumberFormat="1" applyFont="1" applyAlignment="1" applyProtection="1">
      <alignment horizontal="right" vertical="center"/>
      <protection locked="0"/>
    </xf>
    <xf numFmtId="3" fontId="3" fillId="2" borderId="0" xfId="0" applyNumberFormat="1" applyFont="1" applyFill="1" applyAlignment="1" applyProtection="1">
      <alignment horizontal="center" vertical="center"/>
      <protection locked="0"/>
    </xf>
    <xf numFmtId="1" fontId="3" fillId="0" borderId="0" xfId="0" applyNumberFormat="1" applyFont="1" applyAlignment="1" applyProtection="1">
      <alignment horizontal="right" vertical="center"/>
      <protection locked="0"/>
    </xf>
    <xf numFmtId="0" fontId="3" fillId="2" borderId="7" xfId="0" applyFont="1" applyFill="1" applyBorder="1" applyAlignment="1" applyProtection="1">
      <alignment horizontal="left" vertical="center"/>
      <protection locked="0"/>
    </xf>
    <xf numFmtId="3" fontId="3" fillId="2" borderId="0" xfId="0" applyNumberFormat="1" applyFont="1" applyFill="1" applyAlignment="1" applyProtection="1">
      <alignment horizontal="right" vertical="center"/>
      <protection locked="0"/>
    </xf>
    <xf numFmtId="0" fontId="0" fillId="2" borderId="7" xfId="0" applyFill="1" applyBorder="1" applyAlignment="1" applyProtection="1">
      <alignment horizontal="left" vertical="center"/>
      <protection locked="0"/>
    </xf>
    <xf numFmtId="3" fontId="3" fillId="0" borderId="0" xfId="0" applyNumberFormat="1" applyFont="1" applyAlignment="1" applyProtection="1">
      <alignment horizontal="right" vertical="center"/>
      <protection locked="0"/>
    </xf>
    <xf numFmtId="0" fontId="3" fillId="4" borderId="7" xfId="0" applyFont="1" applyFill="1" applyBorder="1" applyAlignment="1" applyProtection="1">
      <alignment horizontal="right"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horizontal="right" vertical="center"/>
      <protection locked="0"/>
    </xf>
    <xf numFmtId="165" fontId="9" fillId="0" borderId="0" xfId="0" applyNumberFormat="1" applyFont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2" fontId="3" fillId="2" borderId="7" xfId="0" applyNumberFormat="1" applyFont="1" applyFill="1" applyBorder="1" applyAlignment="1" applyProtection="1">
      <alignment horizontal="center" vertical="center"/>
      <protection locked="0"/>
    </xf>
    <xf numFmtId="0" fontId="3" fillId="5" borderId="0" xfId="1" applyNumberFormat="1" applyFont="1" applyFill="1" applyBorder="1" applyAlignment="1" applyProtection="1">
      <alignment horizontal="right" vertical="center"/>
    </xf>
    <xf numFmtId="165" fontId="3" fillId="4" borderId="7" xfId="1" applyNumberFormat="1" applyFont="1" applyFill="1" applyBorder="1" applyAlignment="1" applyProtection="1">
      <alignment vertical="center"/>
      <protection locked="0"/>
    </xf>
    <xf numFmtId="165" fontId="3" fillId="2" borderId="0" xfId="1" applyNumberFormat="1" applyFont="1" applyFill="1" applyBorder="1" applyAlignment="1" applyProtection="1">
      <alignment horizontal="right" vertical="center"/>
      <protection locked="0"/>
    </xf>
    <xf numFmtId="165" fontId="3" fillId="5" borderId="0" xfId="1" applyNumberFormat="1" applyFont="1" applyFill="1" applyBorder="1" applyAlignment="1" applyProtection="1">
      <alignment vertical="center"/>
    </xf>
    <xf numFmtId="2" fontId="3" fillId="0" borderId="0" xfId="0" applyNumberFormat="1" applyFont="1" applyAlignment="1">
      <alignment vertical="center"/>
    </xf>
    <xf numFmtId="165" fontId="3" fillId="0" borderId="0" xfId="1" applyNumberFormat="1" applyFont="1" applyFill="1" applyBorder="1" applyAlignment="1" applyProtection="1">
      <alignment vertical="center"/>
    </xf>
    <xf numFmtId="44" fontId="3" fillId="0" borderId="0" xfId="1" applyFont="1" applyFill="1" applyBorder="1" applyAlignment="1" applyProtection="1">
      <alignment vertical="center"/>
      <protection locked="0"/>
    </xf>
    <xf numFmtId="0" fontId="3" fillId="0" borderId="0" xfId="0" applyFont="1" applyAlignment="1">
      <alignment vertical="center"/>
    </xf>
    <xf numFmtId="4" fontId="3" fillId="2" borderId="7" xfId="0" applyNumberFormat="1" applyFont="1" applyFill="1" applyBorder="1" applyAlignment="1" applyProtection="1">
      <alignment horizontal="center" vertical="center"/>
      <protection locked="0"/>
    </xf>
    <xf numFmtId="165" fontId="3" fillId="4" borderId="0" xfId="1" applyNumberFormat="1" applyFont="1" applyFill="1" applyBorder="1" applyAlignment="1" applyProtection="1">
      <alignment horizontal="right" vertical="center"/>
      <protection locked="0"/>
    </xf>
    <xf numFmtId="0" fontId="11" fillId="0" borderId="0" xfId="0" applyFont="1" applyAlignment="1" applyProtection="1">
      <alignment horizontal="right" vertical="center"/>
      <protection locked="0"/>
    </xf>
    <xf numFmtId="2" fontId="3" fillId="0" borderId="0" xfId="0" applyNumberFormat="1" applyFont="1" applyAlignment="1" applyProtection="1">
      <alignment vertical="center"/>
      <protection locked="0"/>
    </xf>
    <xf numFmtId="5" fontId="3" fillId="2" borderId="0" xfId="0" applyNumberFormat="1" applyFont="1" applyFill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vertical="center"/>
      <protection locked="0"/>
    </xf>
    <xf numFmtId="0" fontId="10" fillId="0" borderId="0" xfId="0" applyFont="1" applyAlignment="1" applyProtection="1">
      <alignment vertical="center"/>
      <protection locked="0"/>
    </xf>
    <xf numFmtId="44" fontId="10" fillId="0" borderId="0" xfId="1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vertical="center"/>
    </xf>
    <xf numFmtId="44" fontId="0" fillId="4" borderId="1" xfId="1" applyFont="1" applyFill="1" applyBorder="1" applyAlignment="1">
      <alignment vertical="center"/>
    </xf>
    <xf numFmtId="44" fontId="3" fillId="4" borderId="5" xfId="1" applyFont="1" applyFill="1" applyBorder="1" applyAlignment="1" applyProtection="1">
      <alignment vertical="center"/>
      <protection locked="0"/>
    </xf>
    <xf numFmtId="44" fontId="0" fillId="0" borderId="0" xfId="1" applyFont="1" applyFill="1"/>
    <xf numFmtId="0" fontId="2" fillId="0" borderId="0" xfId="0" applyFont="1" applyAlignment="1" applyProtection="1">
      <alignment vertical="center"/>
      <protection locked="0"/>
    </xf>
    <xf numFmtId="9" fontId="12" fillId="4" borderId="0" xfId="2" applyFont="1" applyFill="1" applyBorder="1" applyAlignment="1" applyProtection="1">
      <alignment horizontal="right" vertical="center"/>
      <protection locked="0"/>
    </xf>
    <xf numFmtId="165" fontId="3" fillId="0" borderId="0" xfId="1" applyNumberFormat="1" applyFont="1" applyFill="1" applyBorder="1" applyAlignment="1" applyProtection="1">
      <alignment vertical="center"/>
      <protection locked="0"/>
    </xf>
    <xf numFmtId="44" fontId="3" fillId="4" borderId="1" xfId="1" applyFont="1" applyFill="1" applyBorder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13" fillId="0" borderId="0" xfId="0" applyFont="1"/>
    <xf numFmtId="0" fontId="3" fillId="0" borderId="0" xfId="0" applyFont="1"/>
    <xf numFmtId="0" fontId="1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4" fontId="0" fillId="0" borderId="0" xfId="0" applyNumberFormat="1"/>
    <xf numFmtId="0" fontId="0" fillId="0" borderId="0" xfId="0" applyAlignment="1">
      <alignment horizontal="right"/>
    </xf>
    <xf numFmtId="0" fontId="3" fillId="5" borderId="0" xfId="1" applyNumberFormat="1" applyFont="1" applyFill="1" applyBorder="1" applyAlignment="1" applyProtection="1">
      <alignment horizontal="center" vertical="center"/>
    </xf>
    <xf numFmtId="7" fontId="3" fillId="2" borderId="0" xfId="0" applyNumberFormat="1" applyFont="1" applyFill="1" applyAlignment="1" applyProtection="1">
      <alignment horizontal="center" vertical="center"/>
      <protection locked="0"/>
    </xf>
    <xf numFmtId="2" fontId="0" fillId="0" borderId="0" xfId="0" applyNumberFormat="1" applyAlignment="1">
      <alignment horizontal="right"/>
    </xf>
    <xf numFmtId="0" fontId="2" fillId="0" borderId="0" xfId="0" applyFont="1"/>
    <xf numFmtId="165" fontId="2" fillId="0" borderId="0" xfId="0" applyNumberFormat="1" applyFont="1" applyAlignment="1">
      <alignment horizontal="center"/>
    </xf>
    <xf numFmtId="165" fontId="0" fillId="8" borderId="0" xfId="0" applyNumberFormat="1" applyFill="1"/>
    <xf numFmtId="0" fontId="3" fillId="5" borderId="0" xfId="0" applyFont="1" applyFill="1" applyAlignment="1" applyProtection="1">
      <alignment horizontal="left" vertical="center"/>
      <protection locked="0"/>
    </xf>
    <xf numFmtId="2" fontId="3" fillId="0" borderId="0" xfId="0" applyNumberFormat="1" applyFont="1" applyAlignment="1">
      <alignment horizontal="right" vertical="center"/>
    </xf>
    <xf numFmtId="165" fontId="0" fillId="5" borderId="0" xfId="0" applyNumberFormat="1" applyFill="1"/>
    <xf numFmtId="0" fontId="3" fillId="5" borderId="0" xfId="0" applyFont="1" applyFill="1" applyAlignment="1" applyProtection="1">
      <alignment vertical="center"/>
      <protection locked="0"/>
    </xf>
    <xf numFmtId="165" fontId="3" fillId="4" borderId="0" xfId="0" applyNumberFormat="1" applyFont="1" applyFill="1" applyAlignment="1" applyProtection="1">
      <alignment horizontal="right" vertical="center"/>
      <protection locked="0"/>
    </xf>
    <xf numFmtId="0" fontId="0" fillId="4" borderId="0" xfId="0" applyFill="1"/>
    <xf numFmtId="165" fontId="0" fillId="4" borderId="0" xfId="0" applyNumberFormat="1" applyFill="1"/>
    <xf numFmtId="166" fontId="0" fillId="4" borderId="0" xfId="0" applyNumberFormat="1" applyFill="1"/>
    <xf numFmtId="3" fontId="3" fillId="4" borderId="0" xfId="0" applyNumberFormat="1" applyFont="1" applyFill="1" applyAlignment="1" applyProtection="1">
      <alignment horizontal="center" vertical="center"/>
      <protection locked="0"/>
    </xf>
    <xf numFmtId="3" fontId="0" fillId="0" borderId="0" xfId="0" applyNumberFormat="1" applyProtection="1">
      <protection locked="0"/>
    </xf>
    <xf numFmtId="0" fontId="2" fillId="0" borderId="0" xfId="0" applyFont="1" applyAlignment="1" applyProtection="1">
      <alignment horizontal="right" vertical="center"/>
      <protection locked="0"/>
    </xf>
    <xf numFmtId="0" fontId="3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2" xfId="0" applyNumberFormat="1" applyBorder="1" applyAlignment="1">
      <alignment horizontal="center"/>
    </xf>
    <xf numFmtId="4" fontId="0" fillId="0" borderId="8" xfId="0" applyNumberFormat="1" applyBorder="1" applyAlignment="1">
      <alignment horizontal="center"/>
    </xf>
    <xf numFmtId="3" fontId="0" fillId="4" borderId="2" xfId="0" applyNumberFormat="1" applyFill="1" applyBorder="1" applyAlignment="1">
      <alignment horizontal="center"/>
    </xf>
    <xf numFmtId="3" fontId="0" fillId="4" borderId="10" xfId="0" applyNumberFormat="1" applyFill="1" applyBorder="1" applyAlignment="1">
      <alignment horizontal="center"/>
    </xf>
    <xf numFmtId="3" fontId="0" fillId="0" borderId="2" xfId="0" applyNumberFormat="1" applyBorder="1" applyAlignment="1" applyProtection="1">
      <alignment horizontal="center"/>
      <protection locked="0"/>
    </xf>
    <xf numFmtId="3" fontId="0" fillId="4" borderId="6" xfId="0" applyNumberFormat="1" applyFill="1" applyBorder="1" applyAlignment="1">
      <alignment horizontal="center"/>
    </xf>
    <xf numFmtId="0" fontId="3" fillId="0" borderId="2" xfId="0" applyFont="1" applyBorder="1" applyAlignment="1">
      <alignment horizontal="left"/>
    </xf>
    <xf numFmtId="4" fontId="3" fillId="2" borderId="0" xfId="0" applyNumberFormat="1" applyFont="1" applyFill="1" applyAlignment="1" applyProtection="1">
      <alignment horizontal="center" vertical="center"/>
      <protection locked="0"/>
    </xf>
    <xf numFmtId="1" fontId="3" fillId="2" borderId="0" xfId="0" applyNumberFormat="1" applyFont="1" applyFill="1" applyAlignment="1" applyProtection="1">
      <alignment horizontal="center" vertical="center"/>
      <protection locked="0"/>
    </xf>
    <xf numFmtId="165" fontId="3" fillId="4" borderId="0" xfId="0" applyNumberFormat="1" applyFont="1" applyFill="1" applyAlignment="1" applyProtection="1">
      <alignment vertical="center"/>
      <protection locked="0"/>
    </xf>
    <xf numFmtId="3" fontId="0" fillId="4" borderId="0" xfId="0" applyNumberFormat="1" applyFill="1" applyAlignment="1" applyProtection="1">
      <alignment horizontal="center"/>
      <protection locked="0"/>
    </xf>
    <xf numFmtId="3" fontId="3" fillId="4" borderId="0" xfId="3" applyNumberFormat="1" applyFont="1" applyFill="1" applyBorder="1" applyAlignment="1" applyProtection="1">
      <alignment horizontal="center" vertical="center"/>
      <protection locked="0"/>
    </xf>
    <xf numFmtId="167" fontId="3" fillId="0" borderId="0" xfId="0" applyNumberFormat="1" applyFont="1" applyAlignment="1" applyProtection="1">
      <alignment horizontal="right"/>
      <protection locked="0"/>
    </xf>
    <xf numFmtId="3" fontId="3" fillId="0" borderId="0" xfId="3" applyNumberFormat="1" applyFont="1" applyFill="1" applyBorder="1" applyAlignment="1" applyProtection="1">
      <alignment horizontal="center" vertical="center"/>
      <protection locked="0"/>
    </xf>
    <xf numFmtId="165" fontId="3" fillId="4" borderId="0" xfId="0" applyNumberFormat="1" applyFont="1" applyFill="1" applyAlignment="1" applyProtection="1">
      <alignment horizontal="center" vertical="center"/>
      <protection locked="0"/>
    </xf>
    <xf numFmtId="165" fontId="3" fillId="0" borderId="0" xfId="1" applyNumberFormat="1" applyFont="1" applyFill="1" applyBorder="1" applyAlignment="1" applyProtection="1">
      <alignment horizontal="right" vertical="center"/>
      <protection locked="0"/>
    </xf>
    <xf numFmtId="0" fontId="3" fillId="0" borderId="0" xfId="4"/>
    <xf numFmtId="0" fontId="2" fillId="0" borderId="0" xfId="4" applyFont="1" applyAlignment="1" applyProtection="1">
      <alignment horizontal="left" vertical="center"/>
      <protection locked="0"/>
    </xf>
    <xf numFmtId="0" fontId="3" fillId="0" borderId="0" xfId="4" applyAlignment="1" applyProtection="1">
      <alignment vertical="center"/>
      <protection locked="0"/>
    </xf>
    <xf numFmtId="0" fontId="3" fillId="4" borderId="0" xfId="4" applyFill="1" applyAlignment="1" applyProtection="1">
      <alignment vertical="center"/>
      <protection locked="0"/>
    </xf>
    <xf numFmtId="0" fontId="3" fillId="0" borderId="0" xfId="4" applyAlignment="1" applyProtection="1">
      <alignment horizontal="left" vertical="center"/>
      <protection locked="0"/>
    </xf>
    <xf numFmtId="0" fontId="2" fillId="0" borderId="0" xfId="4" applyFont="1" applyAlignment="1" applyProtection="1">
      <alignment vertical="center"/>
      <protection locked="0"/>
    </xf>
    <xf numFmtId="0" fontId="2" fillId="0" borderId="0" xfId="4" applyFont="1" applyAlignment="1" applyProtection="1">
      <alignment horizontal="center" vertical="center"/>
      <protection locked="0"/>
    </xf>
    <xf numFmtId="4" fontId="3" fillId="0" borderId="0" xfId="4" applyNumberFormat="1" applyAlignment="1" applyProtection="1">
      <alignment horizontal="right" vertical="center"/>
      <protection locked="0"/>
    </xf>
    <xf numFmtId="7" fontId="3" fillId="0" borderId="0" xfId="4" applyNumberFormat="1" applyAlignment="1" applyProtection="1">
      <alignment horizontal="right" vertical="center"/>
      <protection locked="0"/>
    </xf>
    <xf numFmtId="7" fontId="3" fillId="2" borderId="0" xfId="4" applyNumberFormat="1" applyFill="1" applyAlignment="1" applyProtection="1">
      <alignment horizontal="right" vertical="center"/>
      <protection locked="0"/>
    </xf>
    <xf numFmtId="1" fontId="3" fillId="0" borderId="0" xfId="4" applyNumberFormat="1" applyAlignment="1" applyProtection="1">
      <alignment horizontal="right" vertical="center"/>
      <protection locked="0"/>
    </xf>
    <xf numFmtId="3" fontId="3" fillId="0" borderId="0" xfId="4" applyNumberFormat="1" applyAlignment="1" applyProtection="1">
      <alignment horizontal="right" vertical="center"/>
      <protection locked="0"/>
    </xf>
    <xf numFmtId="3" fontId="2" fillId="0" borderId="0" xfId="3" applyNumberFormat="1" applyFont="1" applyFill="1" applyBorder="1" applyAlignment="1" applyProtection="1">
      <alignment horizontal="center" vertical="center"/>
      <protection locked="0"/>
    </xf>
    <xf numFmtId="2" fontId="2" fillId="0" borderId="0" xfId="0" applyNumberFormat="1" applyFont="1" applyAlignment="1" applyProtection="1">
      <alignment horizontal="center" vertical="center"/>
      <protection locked="0"/>
    </xf>
    <xf numFmtId="1" fontId="3" fillId="4" borderId="8" xfId="0" applyNumberFormat="1" applyFont="1" applyFill="1" applyBorder="1" applyAlignment="1" applyProtection="1">
      <alignment horizontal="center" vertical="center"/>
      <protection locked="0"/>
    </xf>
    <xf numFmtId="2" fontId="3" fillId="2" borderId="9" xfId="0" applyNumberFormat="1" applyFont="1" applyFill="1" applyBorder="1" applyAlignment="1" applyProtection="1">
      <alignment horizontal="center" vertical="center"/>
      <protection locked="0"/>
    </xf>
    <xf numFmtId="2" fontId="3" fillId="0" borderId="0" xfId="0" applyNumberFormat="1" applyFont="1" applyAlignment="1" applyProtection="1">
      <alignment horizontal="right"/>
      <protection locked="0"/>
    </xf>
    <xf numFmtId="1" fontId="3" fillId="0" borderId="0" xfId="0" applyNumberFormat="1" applyFont="1" applyAlignment="1" applyProtection="1">
      <alignment horizontal="center" vertical="center"/>
      <protection locked="0"/>
    </xf>
    <xf numFmtId="165" fontId="3" fillId="0" borderId="0" xfId="0" applyNumberFormat="1" applyFont="1" applyAlignment="1" applyProtection="1">
      <alignment horizontal="center" vertical="center"/>
      <protection locked="0"/>
    </xf>
    <xf numFmtId="0" fontId="3" fillId="4" borderId="0" xfId="0" applyFont="1" applyFill="1" applyAlignment="1" applyProtection="1">
      <alignment horizontal="left" vertical="center"/>
      <protection locked="0"/>
    </xf>
    <xf numFmtId="7" fontId="3" fillId="4" borderId="0" xfId="0" applyNumberFormat="1" applyFont="1" applyFill="1" applyAlignment="1" applyProtection="1">
      <alignment horizontal="right" vertical="center"/>
      <protection locked="0"/>
    </xf>
    <xf numFmtId="1" fontId="3" fillId="4" borderId="0" xfId="0" applyNumberFormat="1" applyFont="1" applyFill="1" applyAlignment="1" applyProtection="1">
      <alignment horizontal="right" vertical="center"/>
      <protection locked="0"/>
    </xf>
    <xf numFmtId="44" fontId="3" fillId="4" borderId="11" xfId="1" applyFont="1" applyFill="1" applyBorder="1" applyAlignment="1" applyProtection="1">
      <alignment vertical="center"/>
      <protection locked="0"/>
    </xf>
    <xf numFmtId="44" fontId="0" fillId="4" borderId="11" xfId="1" applyFont="1" applyFill="1" applyBorder="1" applyAlignment="1">
      <alignment vertical="center"/>
    </xf>
    <xf numFmtId="0" fontId="3" fillId="0" borderId="0" xfId="4" applyAlignment="1">
      <alignment horizontal="center"/>
    </xf>
    <xf numFmtId="0" fontId="2" fillId="0" borderId="0" xfId="4" applyFont="1" applyAlignment="1">
      <alignment horizontal="center"/>
    </xf>
    <xf numFmtId="3" fontId="3" fillId="4" borderId="0" xfId="4" applyNumberFormat="1" applyFill="1" applyAlignment="1" applyProtection="1">
      <alignment horizontal="center" vertical="center"/>
      <protection locked="0"/>
    </xf>
    <xf numFmtId="0" fontId="3" fillId="4" borderId="8" xfId="4" applyFill="1" applyBorder="1" applyAlignment="1">
      <alignment horizontal="center"/>
    </xf>
    <xf numFmtId="44" fontId="15" fillId="0" borderId="0" xfId="1" applyFont="1"/>
    <xf numFmtId="49" fontId="16" fillId="2" borderId="0" xfId="5" applyNumberFormat="1" applyFill="1" applyBorder="1" applyAlignment="1" applyProtection="1">
      <alignment horizontal="left" vertical="center"/>
      <protection locked="0"/>
    </xf>
    <xf numFmtId="6" fontId="3" fillId="0" borderId="0" xfId="0" applyNumberFormat="1" applyFont="1" applyAlignment="1" applyProtection="1">
      <alignment vertical="center"/>
      <protection locked="0"/>
    </xf>
    <xf numFmtId="8" fontId="3" fillId="0" borderId="0" xfId="0" applyNumberFormat="1" applyFont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2" fontId="3" fillId="4" borderId="0" xfId="0" applyNumberFormat="1" applyFont="1" applyFill="1" applyAlignment="1" applyProtection="1">
      <alignment horizontal="center" vertical="center"/>
      <protection locked="0"/>
    </xf>
    <xf numFmtId="9" fontId="2" fillId="0" borderId="0" xfId="0" applyNumberFormat="1" applyFont="1" applyAlignment="1" applyProtection="1">
      <alignment horizontal="right" vertical="center"/>
      <protection locked="0"/>
    </xf>
    <xf numFmtId="0" fontId="9" fillId="0" borderId="0" xfId="0" applyFont="1" applyAlignment="1" applyProtection="1">
      <alignment horizontal="centerContinuous" vertical="center"/>
      <protection locked="0"/>
    </xf>
    <xf numFmtId="0" fontId="9" fillId="0" borderId="0" xfId="0" applyFont="1" applyAlignment="1" applyProtection="1">
      <alignment vertical="center"/>
      <protection locked="0"/>
    </xf>
    <xf numFmtId="4" fontId="9" fillId="0" borderId="0" xfId="0" applyNumberFormat="1" applyFont="1" applyAlignment="1" applyProtection="1">
      <alignment vertical="center"/>
      <protection locked="0"/>
    </xf>
    <xf numFmtId="44" fontId="9" fillId="0" borderId="0" xfId="1" applyFont="1" applyFill="1" applyBorder="1" applyAlignment="1" applyProtection="1">
      <alignment horizontal="righ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5" fontId="3" fillId="0" borderId="0" xfId="0" applyNumberFormat="1" applyFont="1" applyAlignment="1" applyProtection="1">
      <alignment vertical="center"/>
      <protection locked="0"/>
    </xf>
    <xf numFmtId="0" fontId="2" fillId="6" borderId="2" xfId="0" applyFont="1" applyFill="1" applyBorder="1" applyAlignment="1">
      <alignment horizontal="center" wrapText="1"/>
    </xf>
    <xf numFmtId="0" fontId="2" fillId="6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6" borderId="2" xfId="0" applyFont="1" applyFill="1" applyBorder="1" applyAlignment="1">
      <alignment horizontal="center"/>
    </xf>
    <xf numFmtId="0" fontId="2" fillId="6" borderId="2" xfId="0" applyFont="1" applyFill="1" applyBorder="1"/>
    <xf numFmtId="164" fontId="2" fillId="6" borderId="2" xfId="0" applyNumberFormat="1" applyFont="1" applyFill="1" applyBorder="1"/>
    <xf numFmtId="0" fontId="2" fillId="2" borderId="0" xfId="0" applyFont="1" applyFill="1"/>
    <xf numFmtId="0" fontId="3" fillId="0" borderId="0" xfId="0" applyFont="1" applyAlignment="1">
      <alignment horizontal="right"/>
    </xf>
    <xf numFmtId="165" fontId="3" fillId="0" borderId="0" xfId="0" applyNumberFormat="1" applyFont="1" applyAlignment="1">
      <alignment horizontal="right"/>
    </xf>
    <xf numFmtId="0" fontId="2" fillId="9" borderId="2" xfId="0" applyFont="1" applyFill="1" applyBorder="1"/>
    <xf numFmtId="3" fontId="0" fillId="0" borderId="2" xfId="0" applyNumberFormat="1" applyBorder="1"/>
    <xf numFmtId="0" fontId="2" fillId="9" borderId="2" xfId="0" applyFont="1" applyFill="1" applyBorder="1" applyAlignment="1">
      <alignment wrapText="1"/>
    </xf>
    <xf numFmtId="2" fontId="0" fillId="0" borderId="2" xfId="0" applyNumberFormat="1" applyBorder="1"/>
    <xf numFmtId="0" fontId="2" fillId="9" borderId="12" xfId="0" applyFont="1" applyFill="1" applyBorder="1"/>
    <xf numFmtId="0" fontId="0" fillId="0" borderId="11" xfId="0" applyBorder="1"/>
    <xf numFmtId="0" fontId="0" fillId="0" borderId="10" xfId="0" applyBorder="1"/>
    <xf numFmtId="0" fontId="0" fillId="9" borderId="9" xfId="0" applyFill="1" applyBorder="1"/>
    <xf numFmtId="0" fontId="0" fillId="0" borderId="7" xfId="0" applyBorder="1"/>
    <xf numFmtId="0" fontId="0" fillId="9" borderId="13" xfId="0" applyFill="1" applyBorder="1"/>
    <xf numFmtId="0" fontId="0" fillId="0" borderId="1" xfId="0" applyBorder="1"/>
    <xf numFmtId="0" fontId="0" fillId="0" borderId="14" xfId="0" applyBorder="1"/>
    <xf numFmtId="2" fontId="3" fillId="2" borderId="0" xfId="0" applyNumberFormat="1" applyFont="1" applyFill="1" applyAlignment="1" applyProtection="1">
      <alignment horizontal="left" vertical="center"/>
      <protection locked="0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44" fontId="0" fillId="0" borderId="0" xfId="1" applyFont="1"/>
    <xf numFmtId="0" fontId="17" fillId="0" borderId="0" xfId="0" applyFont="1"/>
    <xf numFmtId="0" fontId="18" fillId="0" borderId="0" xfId="0" applyFont="1" applyAlignment="1" applyProtection="1">
      <alignment horizontal="center"/>
      <protection locked="0"/>
    </xf>
    <xf numFmtId="0" fontId="18" fillId="0" borderId="0" xfId="0" applyFont="1" applyAlignment="1">
      <alignment horizontal="center"/>
    </xf>
    <xf numFmtId="0" fontId="17" fillId="0" borderId="0" xfId="0" applyFont="1" applyAlignment="1" applyProtection="1">
      <alignment horizontal="left"/>
      <protection locked="0"/>
    </xf>
    <xf numFmtId="0" fontId="17" fillId="0" borderId="0" xfId="0" applyFont="1" applyAlignment="1">
      <alignment horizontal="left"/>
    </xf>
    <xf numFmtId="2" fontId="17" fillId="0" borderId="0" xfId="0" applyNumberFormat="1" applyFont="1" applyAlignment="1" applyProtection="1">
      <alignment horizontal="left"/>
      <protection locked="0"/>
    </xf>
    <xf numFmtId="0" fontId="17" fillId="0" borderId="0" xfId="0" applyFont="1" applyAlignment="1" applyProtection="1">
      <alignment horizontal="right"/>
      <protection locked="0"/>
    </xf>
    <xf numFmtId="0" fontId="17" fillId="0" borderId="0" xfId="0" applyFont="1" applyProtection="1">
      <protection locked="0"/>
    </xf>
    <xf numFmtId="1" fontId="17" fillId="0" borderId="0" xfId="0" applyNumberFormat="1" applyFont="1" applyAlignment="1">
      <alignment horizontal="right"/>
    </xf>
    <xf numFmtId="2" fontId="17" fillId="0" borderId="0" xfId="0" applyNumberFormat="1" applyFont="1" applyAlignment="1">
      <alignment horizontal="right"/>
    </xf>
    <xf numFmtId="0" fontId="19" fillId="0" borderId="0" xfId="0" applyFont="1" applyAlignment="1" applyProtection="1">
      <alignment horizontal="left"/>
      <protection locked="0"/>
    </xf>
    <xf numFmtId="165" fontId="17" fillId="0" borderId="0" xfId="0" applyNumberFormat="1" applyFont="1" applyProtection="1">
      <protection locked="0"/>
    </xf>
    <xf numFmtId="1" fontId="17" fillId="0" borderId="0" xfId="0" applyNumberFormat="1" applyFont="1" applyProtection="1">
      <protection locked="0"/>
    </xf>
    <xf numFmtId="2" fontId="17" fillId="0" borderId="0" xfId="0" applyNumberFormat="1" applyFont="1" applyProtection="1">
      <protection locked="0"/>
    </xf>
    <xf numFmtId="3" fontId="17" fillId="0" borderId="0" xfId="0" applyNumberFormat="1" applyFont="1" applyProtection="1">
      <protection locked="0"/>
    </xf>
    <xf numFmtId="1" fontId="17" fillId="0" borderId="0" xfId="0" applyNumberFormat="1" applyFont="1" applyAlignment="1" applyProtection="1">
      <alignment horizontal="right"/>
      <protection locked="0"/>
    </xf>
    <xf numFmtId="4" fontId="17" fillId="0" borderId="0" xfId="0" applyNumberFormat="1" applyFont="1" applyProtection="1">
      <protection locked="0"/>
    </xf>
    <xf numFmtId="2" fontId="17" fillId="0" borderId="0" xfId="0" applyNumberFormat="1" applyFont="1" applyAlignment="1" applyProtection="1">
      <alignment horizontal="right"/>
      <protection locked="0"/>
    </xf>
    <xf numFmtId="0" fontId="18" fillId="0" borderId="0" xfId="0" applyFont="1"/>
    <xf numFmtId="10" fontId="17" fillId="0" borderId="0" xfId="0" applyNumberFormat="1" applyFont="1" applyProtection="1">
      <protection locked="0"/>
    </xf>
    <xf numFmtId="0" fontId="1" fillId="0" borderId="0" xfId="0" applyFont="1"/>
    <xf numFmtId="0" fontId="2" fillId="0" borderId="0" xfId="0" applyFont="1" applyAlignment="1">
      <alignment vertical="center"/>
    </xf>
    <xf numFmtId="0" fontId="3" fillId="10" borderId="0" xfId="0" applyFont="1" applyFill="1" applyAlignment="1">
      <alignment vertical="center"/>
    </xf>
    <xf numFmtId="0" fontId="18" fillId="6" borderId="0" xfId="0" applyFont="1" applyFill="1" applyAlignment="1">
      <alignment horizontal="center"/>
    </xf>
    <xf numFmtId="0" fontId="17" fillId="9" borderId="0" xfId="0" applyFont="1" applyFill="1" applyAlignment="1" applyProtection="1">
      <alignment horizontal="center"/>
      <protection locked="0"/>
    </xf>
    <xf numFmtId="0" fontId="18" fillId="6" borderId="0" xfId="0" applyFont="1" applyFill="1" applyAlignment="1" applyProtection="1">
      <alignment horizontal="center"/>
      <protection locked="0"/>
    </xf>
    <xf numFmtId="0" fontId="3" fillId="2" borderId="0" xfId="0" applyFont="1" applyFill="1" applyAlignment="1" applyProtection="1">
      <alignment horizontal="left" vertical="center"/>
      <protection locked="0"/>
    </xf>
    <xf numFmtId="0" fontId="2" fillId="6" borderId="4" xfId="0" applyFont="1" applyFill="1" applyBorder="1" applyAlignment="1">
      <alignment horizontal="center" vertical="distributed"/>
    </xf>
    <xf numFmtId="0" fontId="2" fillId="6" borderId="5" xfId="0" applyFont="1" applyFill="1" applyBorder="1" applyAlignment="1">
      <alignment horizontal="center" vertical="distributed"/>
    </xf>
    <xf numFmtId="0" fontId="2" fillId="6" borderId="6" xfId="0" applyFont="1" applyFill="1" applyBorder="1" applyAlignment="1">
      <alignment horizontal="center" vertical="distributed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2" fontId="3" fillId="0" borderId="2" xfId="0" applyNumberFormat="1" applyFont="1" applyBorder="1" applyAlignment="1">
      <alignment horizontal="left"/>
    </xf>
    <xf numFmtId="49" fontId="3" fillId="0" borderId="2" xfId="0" applyNumberFormat="1" applyFont="1" applyBorder="1" applyAlignment="1">
      <alignment horizontal="left"/>
    </xf>
    <xf numFmtId="167" fontId="0" fillId="0" borderId="2" xfId="0" applyNumberFormat="1" applyBorder="1" applyAlignment="1">
      <alignment horizontal="left"/>
    </xf>
    <xf numFmtId="1" fontId="0" fillId="0" borderId="2" xfId="0" applyNumberFormat="1" applyBorder="1" applyAlignment="1">
      <alignment horizontal="left"/>
    </xf>
    <xf numFmtId="3" fontId="0" fillId="0" borderId="2" xfId="0" applyNumberFormat="1" applyBorder="1" applyAlignment="1">
      <alignment horizontal="left"/>
    </xf>
    <xf numFmtId="1" fontId="0" fillId="0" borderId="4" xfId="0" applyNumberFormat="1" applyBorder="1" applyAlignment="1">
      <alignment horizontal="left"/>
    </xf>
    <xf numFmtId="1" fontId="0" fillId="0" borderId="6" xfId="0" applyNumberFormat="1" applyBorder="1" applyAlignment="1">
      <alignment horizontal="left"/>
    </xf>
    <xf numFmtId="1" fontId="0" fillId="0" borderId="5" xfId="0" applyNumberFormat="1" applyBorder="1" applyAlignment="1">
      <alignment horizontal="left"/>
    </xf>
    <xf numFmtId="0" fontId="0" fillId="0" borderId="11" xfId="0" applyBorder="1" applyAlignment="1">
      <alignment horizontal="center"/>
    </xf>
    <xf numFmtId="0" fontId="2" fillId="0" borderId="12" xfId="0" applyFont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0" xfId="0" applyBorder="1" applyAlignment="1">
      <alignment horizontal="left"/>
    </xf>
    <xf numFmtId="0" fontId="3" fillId="0" borderId="9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0" xfId="0" applyAlignment="1">
      <alignment horizontal="center"/>
    </xf>
    <xf numFmtId="0" fontId="2" fillId="9" borderId="4" xfId="0" applyFont="1" applyFill="1" applyBorder="1" applyAlignment="1">
      <alignment horizontal="left"/>
    </xf>
    <xf numFmtId="0" fontId="2" fillId="9" borderId="6" xfId="0" applyFont="1" applyFill="1" applyBorder="1" applyAlignment="1">
      <alignment horizontal="left"/>
    </xf>
    <xf numFmtId="0" fontId="2" fillId="9" borderId="5" xfId="0" applyFont="1" applyFill="1" applyBorder="1" applyAlignment="1">
      <alignment horizontal="left"/>
    </xf>
    <xf numFmtId="3" fontId="0" fillId="0" borderId="4" xfId="0" applyNumberFormat="1" applyBorder="1" applyAlignment="1">
      <alignment horizontal="left"/>
    </xf>
    <xf numFmtId="3" fontId="0" fillId="0" borderId="5" xfId="0" applyNumberFormat="1" applyBorder="1" applyAlignment="1">
      <alignment horizontal="left"/>
    </xf>
    <xf numFmtId="3" fontId="0" fillId="0" borderId="6" xfId="0" applyNumberFormat="1" applyBorder="1" applyAlignment="1">
      <alignment horizontal="left"/>
    </xf>
    <xf numFmtId="0" fontId="0" fillId="0" borderId="2" xfId="0" applyBorder="1" applyAlignment="1"/>
  </cellXfs>
  <cellStyles count="6">
    <cellStyle name="Comma" xfId="3" builtinId="3"/>
    <cellStyle name="Currency" xfId="1" builtinId="4"/>
    <cellStyle name="Hyperlink" xfId="5" builtinId="8"/>
    <cellStyle name="Normal" xfId="0" builtinId="0"/>
    <cellStyle name="Normal 2" xfId="4" xr:uid="{00000000-0005-0000-0000-000003000000}"/>
    <cellStyle name="Percent" xfId="2" builtinId="5"/>
  </cellStyles>
  <dxfs count="4"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9"/>
  <sheetViews>
    <sheetView showGridLines="0" zoomScaleNormal="100" workbookViewId="0">
      <selection activeCell="G19" sqref="G19"/>
    </sheetView>
  </sheetViews>
  <sheetFormatPr defaultColWidth="10" defaultRowHeight="12" customHeight="1"/>
  <cols>
    <col min="1" max="1" width="16.42578125" style="16" customWidth="1"/>
    <col min="2" max="2" width="15.7109375" style="16" customWidth="1"/>
    <col min="3" max="3" width="11.7109375" style="16" customWidth="1"/>
    <col min="4" max="5" width="10" style="16" customWidth="1"/>
    <col min="6" max="6" width="15.140625" style="16" customWidth="1"/>
    <col min="7" max="7" width="10" style="16" customWidth="1"/>
    <col min="8" max="8" width="12.85546875" style="16" customWidth="1"/>
    <col min="9" max="9" width="9.7109375" style="16" customWidth="1"/>
    <col min="10" max="10" width="0.28515625" style="16" hidden="1" customWidth="1"/>
    <col min="11" max="11" width="10" style="16"/>
    <col min="12" max="12" width="10.28515625" style="16" bestFit="1" customWidth="1"/>
    <col min="13" max="16384" width="10" style="16"/>
  </cols>
  <sheetData>
    <row r="1" spans="1:8" ht="12" customHeight="1">
      <c r="B1" s="6" t="s">
        <v>0</v>
      </c>
      <c r="C1" s="19"/>
      <c r="D1" s="20"/>
      <c r="E1" s="21"/>
      <c r="F1" s="6" t="s">
        <v>1</v>
      </c>
      <c r="G1" s="219"/>
      <c r="H1" s="219"/>
    </row>
    <row r="2" spans="1:8" ht="12" customHeight="1">
      <c r="B2" s="6" t="s">
        <v>2</v>
      </c>
      <c r="C2" s="22"/>
      <c r="D2" s="20"/>
      <c r="E2" s="21"/>
      <c r="F2" s="6" t="s">
        <v>3</v>
      </c>
      <c r="G2" s="219"/>
      <c r="H2" s="219"/>
    </row>
    <row r="3" spans="1:8" ht="12" customHeight="1">
      <c r="B3" s="6" t="s">
        <v>4</v>
      </c>
      <c r="C3" s="22"/>
      <c r="D3" s="20"/>
      <c r="E3" s="21"/>
      <c r="F3" s="6" t="s">
        <v>5</v>
      </c>
      <c r="G3" s="219"/>
      <c r="H3" s="219"/>
    </row>
    <row r="4" spans="1:8" ht="12" customHeight="1">
      <c r="B4" s="6" t="s">
        <v>6</v>
      </c>
      <c r="C4" s="22"/>
      <c r="D4" s="20"/>
      <c r="E4" s="21"/>
      <c r="F4" s="6" t="s">
        <v>7</v>
      </c>
      <c r="G4" s="22"/>
      <c r="H4" s="22"/>
    </row>
    <row r="5" spans="1:8" ht="12" customHeight="1">
      <c r="B5" s="6" t="s">
        <v>3</v>
      </c>
      <c r="C5" s="22"/>
      <c r="D5" s="21"/>
      <c r="E5" s="21"/>
      <c r="F5" s="6" t="s">
        <v>8</v>
      </c>
      <c r="G5" s="22"/>
      <c r="H5" s="22"/>
    </row>
    <row r="6" spans="1:8" ht="12" customHeight="1">
      <c r="B6" s="6" t="s">
        <v>5</v>
      </c>
      <c r="C6" s="22"/>
      <c r="D6" s="20"/>
      <c r="E6" s="21"/>
      <c r="F6" s="6" t="s">
        <v>9</v>
      </c>
      <c r="G6" s="23"/>
      <c r="H6" s="23"/>
    </row>
    <row r="7" spans="1:8" ht="12" customHeight="1">
      <c r="B7" s="6" t="s">
        <v>10</v>
      </c>
      <c r="C7" s="24"/>
      <c r="D7" s="20"/>
      <c r="E7" s="21"/>
    </row>
    <row r="8" spans="1:8" ht="12" customHeight="1">
      <c r="B8" s="6" t="s">
        <v>7</v>
      </c>
      <c r="C8" s="157"/>
      <c r="D8" s="22"/>
      <c r="E8" s="21"/>
      <c r="F8" s="25"/>
    </row>
    <row r="9" spans="1:8" ht="12" customHeight="1">
      <c r="B9" s="6" t="s">
        <v>8</v>
      </c>
      <c r="C9" s="190"/>
      <c r="D9" s="20"/>
      <c r="E9" s="21"/>
      <c r="F9" s="214" t="s">
        <v>11</v>
      </c>
      <c r="G9" s="215"/>
      <c r="H9" s="215"/>
    </row>
    <row r="11" spans="1:8" ht="12" customHeight="1">
      <c r="A11" s="79" t="s">
        <v>12</v>
      </c>
      <c r="D11" s="34"/>
      <c r="F11" s="17"/>
    </row>
    <row r="12" spans="1:8" ht="12" customHeight="1">
      <c r="A12" s="79" t="s">
        <v>13</v>
      </c>
      <c r="C12" s="28"/>
      <c r="D12" s="45">
        <f>'Sq Ft Calculation'!F15</f>
        <v>0</v>
      </c>
    </row>
    <row r="13" spans="1:8" ht="12" customHeight="1">
      <c r="A13" s="29" t="s">
        <v>14</v>
      </c>
      <c r="B13" s="29"/>
      <c r="C13" s="30"/>
      <c r="D13" s="30"/>
      <c r="E13" s="30"/>
      <c r="F13" s="30"/>
      <c r="G13" s="30"/>
      <c r="H13" s="30"/>
    </row>
    <row r="14" spans="1:8" ht="12" customHeight="1">
      <c r="B14" s="160" t="s">
        <v>15</v>
      </c>
      <c r="C14" s="160" t="s">
        <v>16</v>
      </c>
      <c r="D14" s="160"/>
      <c r="E14" s="160" t="s">
        <v>17</v>
      </c>
      <c r="F14" s="160"/>
      <c r="G14" s="160" t="s">
        <v>18</v>
      </c>
      <c r="H14" s="160" t="s">
        <v>19</v>
      </c>
    </row>
    <row r="15" spans="1:8" ht="12" customHeight="1">
      <c r="B15" s="83"/>
      <c r="C15" s="83"/>
      <c r="D15" s="83"/>
      <c r="E15" s="83"/>
      <c r="F15" s="83"/>
      <c r="G15" s="83"/>
      <c r="H15" s="83"/>
    </row>
    <row r="16" spans="1:8" ht="12" customHeight="1">
      <c r="A16" s="79" t="s">
        <v>20</v>
      </c>
      <c r="B16" s="83" t="s">
        <v>21</v>
      </c>
      <c r="C16" s="6" t="s">
        <v>22</v>
      </c>
      <c r="E16" s="35"/>
      <c r="F16" s="30"/>
      <c r="G16" s="33"/>
      <c r="H16" s="33"/>
    </row>
    <row r="17" spans="1:9" ht="12" customHeight="1">
      <c r="A17" s="79"/>
      <c r="B17" s="83" t="s">
        <v>23</v>
      </c>
      <c r="C17" s="6" t="s">
        <v>24</v>
      </c>
      <c r="E17" s="35"/>
      <c r="F17" s="30"/>
      <c r="G17" s="33"/>
      <c r="H17" s="33"/>
    </row>
    <row r="18" spans="1:9" ht="12" customHeight="1">
      <c r="D18" s="6" t="s">
        <v>25</v>
      </c>
      <c r="E18" s="26"/>
      <c r="G18" s="36"/>
      <c r="H18" s="36"/>
    </row>
    <row r="19" spans="1:9" ht="12" customHeight="1">
      <c r="A19" s="31">
        <v>11</v>
      </c>
      <c r="B19" s="30" t="str">
        <f>IF(A19=11,"Gaco 2.0 lb.",IF(A19=12,"Gaco 0.5 lb.",IF(A19=21,"NCFI 2.0 lb.",IF(A19=22,"NCFI 0.5 lb.",IF(A19=31,"AccuFoam 2.0 lb.",IF(A19=32,"AccuFoam 0.5 lb.",IF(A19=41,"OTHER 2.0 lb.",IF(A19=42,"OTHER 0.5 lb."))))))))</f>
        <v>Gaco 2.0 lb.</v>
      </c>
      <c r="C19" s="37">
        <v>0</v>
      </c>
      <c r="D19" s="38">
        <v>2</v>
      </c>
      <c r="E19" s="39">
        <v>2.2000000000000002</v>
      </c>
      <c r="F19" s="40">
        <v>3500</v>
      </c>
      <c r="G19" s="33">
        <f>((C19/F19)*D19)*1000</f>
        <v>0</v>
      </c>
      <c r="H19" s="33">
        <f>E19*G19</f>
        <v>0</v>
      </c>
    </row>
    <row r="20" spans="1:9" ht="12" customHeight="1">
      <c r="A20" s="31">
        <v>11</v>
      </c>
      <c r="B20" s="30" t="str">
        <f t="shared" ref="B20:B21" si="0">IF(A20=11,"Gaco 2.0 lb.",IF(A20=12,"Gaco 0.5 lb.",IF(A20=21,"NCFI 2.0 lb.",IF(A20=22,"NCFI 0.5 lb.",IF(A20=31,"AccuFoam 2.0 lb.",IF(A20=32,"AccuFoam 0.5 lb.",IF(A20=41,"OTHER 2.0 lb.",IF(A20=42,"OTHER 0.5 lb."))))))))</f>
        <v>Gaco 2.0 lb.</v>
      </c>
      <c r="C20" s="37">
        <v>0</v>
      </c>
      <c r="D20" s="38">
        <v>2</v>
      </c>
      <c r="E20" s="39">
        <v>2.2000000000000002</v>
      </c>
      <c r="F20" s="40">
        <v>3500</v>
      </c>
      <c r="G20" s="33">
        <f>((C20/F20)*D20)*1000</f>
        <v>0</v>
      </c>
      <c r="H20" s="33">
        <f>E20*G20</f>
        <v>0</v>
      </c>
    </row>
    <row r="21" spans="1:9" ht="12" customHeight="1">
      <c r="A21" s="31">
        <v>11</v>
      </c>
      <c r="B21" s="30" t="str">
        <f t="shared" si="0"/>
        <v>Gaco 2.0 lb.</v>
      </c>
      <c r="C21" s="37">
        <v>0</v>
      </c>
      <c r="D21" s="38">
        <v>2</v>
      </c>
      <c r="E21" s="39">
        <v>2.2000000000000002</v>
      </c>
      <c r="F21" s="40">
        <v>3500</v>
      </c>
      <c r="G21" s="33">
        <f>((C21/F21)*D21)*1000</f>
        <v>0</v>
      </c>
      <c r="H21" s="33">
        <f>E21*G21</f>
        <v>0</v>
      </c>
      <c r="I21" s="83"/>
    </row>
    <row r="22" spans="1:9" ht="12" customHeight="1">
      <c r="A22"/>
      <c r="B22"/>
      <c r="C22"/>
      <c r="D22"/>
      <c r="E22"/>
      <c r="F22"/>
      <c r="G22"/>
      <c r="H22"/>
      <c r="I22" s="83"/>
    </row>
    <row r="23" spans="1:9" ht="12" customHeight="1">
      <c r="B23"/>
      <c r="C23" s="87" t="s">
        <v>26</v>
      </c>
      <c r="D23" s="87"/>
      <c r="E23"/>
      <c r="F23"/>
      <c r="G23"/>
      <c r="H23"/>
      <c r="I23" s="83"/>
    </row>
    <row r="24" spans="1:9" ht="12" customHeight="1">
      <c r="A24" s="93" t="s">
        <v>27</v>
      </c>
      <c r="B24" s="85"/>
      <c r="C24" s="104">
        <v>0</v>
      </c>
      <c r="D24" s="43"/>
      <c r="E24" s="121">
        <v>0.75</v>
      </c>
      <c r="G24" s="83"/>
      <c r="H24" s="70">
        <f>C24*E24</f>
        <v>0</v>
      </c>
      <c r="I24" s="83"/>
    </row>
    <row r="25" spans="1:9" ht="12" customHeight="1">
      <c r="A25"/>
      <c r="B25"/>
      <c r="C25"/>
      <c r="D25"/>
      <c r="E25"/>
      <c r="F25"/>
      <c r="G25"/>
      <c r="H25"/>
    </row>
    <row r="26" spans="1:9" ht="12" customHeight="1">
      <c r="A26" s="79" t="s">
        <v>28</v>
      </c>
      <c r="C26" s="122">
        <v>0</v>
      </c>
      <c r="E26" s="100">
        <v>30</v>
      </c>
      <c r="G26" s="99">
        <f>C26/250</f>
        <v>0</v>
      </c>
      <c r="H26" s="33">
        <f>E26*G26</f>
        <v>0</v>
      </c>
    </row>
    <row r="27" spans="1:9" ht="12" customHeight="1">
      <c r="A27" s="93"/>
      <c r="B27"/>
      <c r="C27"/>
      <c r="D27"/>
      <c r="E27"/>
      <c r="F27"/>
      <c r="G27"/>
      <c r="H27"/>
    </row>
    <row r="28" spans="1:9" ht="12" customHeight="1">
      <c r="A28" s="79" t="s">
        <v>29</v>
      </c>
      <c r="B28" s="83" t="s">
        <v>23</v>
      </c>
      <c r="C28" s="79" t="s">
        <v>30</v>
      </c>
      <c r="D28" s="34"/>
    </row>
    <row r="29" spans="1:9" ht="12" customHeight="1">
      <c r="A29" s="106"/>
      <c r="C29" s="83" t="s">
        <v>16</v>
      </c>
      <c r="D29" s="83" t="s">
        <v>31</v>
      </c>
    </row>
    <row r="30" spans="1:9" ht="12" customHeight="1">
      <c r="A30" s="32">
        <v>1</v>
      </c>
      <c r="B30" s="30" t="str">
        <f>IF(A30=1,"DC 315 TB",IF(A30=2,"Acrylic",IF(A30=3,"NoBurn TB","")))</f>
        <v>DC 315 TB</v>
      </c>
      <c r="C30" s="37">
        <v>0</v>
      </c>
      <c r="D30" s="38">
        <v>1.5</v>
      </c>
      <c r="E30" s="41">
        <v>52</v>
      </c>
      <c r="F30" s="30"/>
      <c r="G30" s="33">
        <f>(((C30/100)*D30))/((100-A$34)/100)</f>
        <v>0</v>
      </c>
      <c r="H30" s="33">
        <f>E30*G30</f>
        <v>0</v>
      </c>
    </row>
    <row r="31" spans="1:9" ht="12" customHeight="1">
      <c r="A31" s="32">
        <v>1</v>
      </c>
      <c r="B31" s="30" t="str">
        <f t="shared" ref="B31:B32" si="1">IF(A31=1,"DC 315 TB",IF(A31=2,"Acrylic",IF(A31=3,"NoBurn TB","")))</f>
        <v>DC 315 TB</v>
      </c>
      <c r="C31" s="37">
        <v>0</v>
      </c>
      <c r="D31" s="38">
        <v>1.5</v>
      </c>
      <c r="E31" s="41">
        <v>52</v>
      </c>
      <c r="F31" s="30"/>
      <c r="G31" s="33">
        <f>(((C31/100)*D31))/((100-A$34)/100)</f>
        <v>0</v>
      </c>
      <c r="H31" s="33">
        <f>E31*G31</f>
        <v>0</v>
      </c>
    </row>
    <row r="32" spans="1:9" ht="12" customHeight="1">
      <c r="A32" s="32">
        <v>1</v>
      </c>
      <c r="B32" s="30" t="str">
        <f t="shared" si="1"/>
        <v>DC 315 TB</v>
      </c>
      <c r="C32" s="37">
        <v>0</v>
      </c>
      <c r="D32" s="38">
        <v>1.5</v>
      </c>
      <c r="E32" s="41">
        <v>52</v>
      </c>
      <c r="F32" s="30"/>
      <c r="G32" s="33">
        <f>(((C32/100)*D32))/((100-A$34)/100)</f>
        <v>0</v>
      </c>
      <c r="H32" s="33">
        <f>E32*G32</f>
        <v>0</v>
      </c>
    </row>
    <row r="33" spans="1:9" ht="12" customHeight="1">
      <c r="A33" s="106" t="s">
        <v>32</v>
      </c>
      <c r="B33" s="30"/>
      <c r="C33" s="42"/>
      <c r="D33" s="43"/>
      <c r="E33" s="35"/>
      <c r="F33" s="30"/>
      <c r="G33" s="33"/>
      <c r="H33" s="33"/>
    </row>
    <row r="34" spans="1:9" ht="12" customHeight="1">
      <c r="A34" s="44">
        <v>20</v>
      </c>
      <c r="B34" s="30"/>
      <c r="C34" s="45"/>
      <c r="D34" s="46"/>
      <c r="E34" s="35"/>
      <c r="F34" s="30"/>
      <c r="G34" s="33"/>
      <c r="H34" s="33"/>
    </row>
    <row r="35" spans="1:9" ht="12" customHeight="1">
      <c r="D35" s="83"/>
    </row>
    <row r="36" spans="1:9" ht="12" customHeight="1">
      <c r="A36" s="79" t="s">
        <v>33</v>
      </c>
      <c r="B36" s="83" t="s">
        <v>23</v>
      </c>
      <c r="C36" s="79" t="s">
        <v>34</v>
      </c>
      <c r="D36" s="83"/>
      <c r="I36"/>
    </row>
    <row r="37" spans="1:9" ht="12" customHeight="1">
      <c r="A37" s="31">
        <v>1</v>
      </c>
      <c r="B37" s="30" t="str">
        <f>IF(A37=1,"Naphtha VM&amp;P",IF(A37=2,"Mineral Spirits",IF(A37=3,"Xylene","")))</f>
        <v>Naphtha VM&amp;P</v>
      </c>
      <c r="C37" s="45"/>
      <c r="D37" s="46"/>
      <c r="E37" s="41">
        <v>10</v>
      </c>
      <c r="F37" s="30"/>
      <c r="G37" s="33">
        <f>((G30+G31+G32)/55)*4</f>
        <v>0</v>
      </c>
      <c r="H37" s="33">
        <f>E37*G37</f>
        <v>0</v>
      </c>
    </row>
    <row r="38" spans="1:9" ht="12" customHeight="1">
      <c r="A38" s="34"/>
      <c r="B38" s="30"/>
      <c r="C38" s="45"/>
      <c r="D38" s="46"/>
      <c r="E38" s="35"/>
      <c r="F38" s="30"/>
      <c r="G38" s="33"/>
      <c r="H38" s="33"/>
    </row>
    <row r="39" spans="1:9" ht="12" customHeight="1">
      <c r="A39" s="133" t="s">
        <v>35</v>
      </c>
      <c r="B39" s="134" t="s">
        <v>23</v>
      </c>
      <c r="C39" s="129" t="s">
        <v>36</v>
      </c>
      <c r="D39" s="128"/>
      <c r="E39" s="128"/>
      <c r="F39" s="128"/>
      <c r="G39" s="128"/>
      <c r="H39" s="128"/>
    </row>
    <row r="40" spans="1:9" ht="12" customHeight="1">
      <c r="A40" s="133"/>
      <c r="B40" s="134"/>
      <c r="C40" s="134" t="s">
        <v>26</v>
      </c>
      <c r="D40" s="153" t="s">
        <v>37</v>
      </c>
      <c r="E40" s="128"/>
      <c r="F40" s="128"/>
      <c r="G40" s="128"/>
      <c r="H40" s="128"/>
    </row>
    <row r="41" spans="1:9" ht="12" customHeight="1">
      <c r="A41" s="131">
        <v>2</v>
      </c>
      <c r="B41" s="132" t="str">
        <f>IF(A41=1,"Can Foam",IF(A41=2,"Liquid Flashing",IF(A41=3,"Pointing Mastic","")))</f>
        <v>Liquid Flashing</v>
      </c>
      <c r="C41" s="154">
        <v>0</v>
      </c>
      <c r="D41" s="155">
        <v>0</v>
      </c>
      <c r="E41" s="137">
        <v>20</v>
      </c>
      <c r="F41" s="132"/>
      <c r="G41" s="138">
        <f>IF(D41=0,0,C41/D41)</f>
        <v>0</v>
      </c>
      <c r="H41" s="135">
        <f>G41*E41</f>
        <v>0</v>
      </c>
    </row>
    <row r="42" spans="1:9" ht="12" customHeight="1">
      <c r="A42" s="133"/>
      <c r="B42" s="134"/>
      <c r="C42" s="134"/>
      <c r="D42" s="152"/>
      <c r="E42" s="128"/>
      <c r="F42" s="128"/>
      <c r="G42" s="128"/>
      <c r="H42" s="128"/>
    </row>
    <row r="43" spans="1:9" ht="12" customHeight="1">
      <c r="A43" s="131">
        <v>3</v>
      </c>
      <c r="B43" s="132" t="str">
        <f>IF(A43=1,"Can Foam",IF(A43=2,"Liquid Flashing",IF(A43=3,"Pointing Mastic","")))</f>
        <v>Pointing Mastic</v>
      </c>
      <c r="C43" s="154">
        <v>0</v>
      </c>
      <c r="D43" s="155">
        <v>0</v>
      </c>
      <c r="E43" s="137">
        <v>10</v>
      </c>
      <c r="F43" s="132"/>
      <c r="G43" s="138">
        <f>IF(D43=0,0,C43/D43)</f>
        <v>0</v>
      </c>
      <c r="H43" s="135">
        <f>G43*E43</f>
        <v>0</v>
      </c>
    </row>
    <row r="44" spans="1:9" ht="12" customHeight="1">
      <c r="A44" s="130"/>
      <c r="B44" s="132"/>
      <c r="C44" s="139"/>
      <c r="D44" s="128"/>
      <c r="E44" s="136"/>
      <c r="F44" s="132"/>
      <c r="G44" s="138"/>
      <c r="H44" s="135"/>
    </row>
    <row r="45" spans="1:9" ht="12" customHeight="1">
      <c r="A45" s="6" t="s">
        <v>38</v>
      </c>
      <c r="B45" s="83" t="s">
        <v>23</v>
      </c>
      <c r="C45" s="79" t="s">
        <v>39</v>
      </c>
      <c r="F45" s="30"/>
      <c r="G45" s="124"/>
      <c r="H45" s="33"/>
    </row>
    <row r="46" spans="1:9" ht="12" customHeight="1">
      <c r="A46" s="34"/>
      <c r="B46" s="30"/>
      <c r="C46" s="140" t="s">
        <v>40</v>
      </c>
      <c r="D46" s="141" t="s">
        <v>41</v>
      </c>
      <c r="E46" s="35"/>
      <c r="F46" s="83" t="s">
        <v>42</v>
      </c>
      <c r="G46" s="124"/>
      <c r="H46" s="33"/>
    </row>
    <row r="47" spans="1:9" ht="12" customHeight="1">
      <c r="A47" s="32">
        <v>1</v>
      </c>
      <c r="B47" s="30" t="str">
        <f>IF(A47=1,"Forklift",IF(A47=2,"Boom",IF(A47=3,"Scissor",IF(A47=4,"Articulating",""))))</f>
        <v>Forklift</v>
      </c>
      <c r="C47" s="123" t="s">
        <v>43</v>
      </c>
      <c r="D47" s="142">
        <v>0</v>
      </c>
      <c r="E47" s="126">
        <v>0</v>
      </c>
      <c r="F47" s="143">
        <v>20</v>
      </c>
      <c r="G47" s="124"/>
      <c r="H47" s="144">
        <f>D47*E47*(1+(F47/100))</f>
        <v>0</v>
      </c>
    </row>
    <row r="48" spans="1:9" ht="12" customHeight="1">
      <c r="A48" s="32">
        <v>1</v>
      </c>
      <c r="B48" s="30" t="str">
        <f>IF(A48=1,"Forklift",IF(A48=2,"Boom",IF(A48=3,"Scissor",IF(A48=4,"Articulating",""))))</f>
        <v>Forklift</v>
      </c>
      <c r="C48" s="123" t="s">
        <v>43</v>
      </c>
      <c r="D48" s="142">
        <v>0</v>
      </c>
      <c r="E48" s="126">
        <v>0</v>
      </c>
      <c r="F48" s="143">
        <v>20</v>
      </c>
      <c r="G48" s="124"/>
      <c r="H48" s="144">
        <f>D48*E48*(1+(F48/100))</f>
        <v>0</v>
      </c>
    </row>
    <row r="49" spans="1:8" ht="12" customHeight="1">
      <c r="A49" s="34"/>
      <c r="B49" s="30"/>
      <c r="C49" s="125"/>
      <c r="D49" s="145"/>
      <c r="E49" s="146"/>
      <c r="F49" s="43"/>
      <c r="G49" s="124"/>
      <c r="H49" s="144"/>
    </row>
    <row r="50" spans="1:8" ht="12" customHeight="1">
      <c r="A50" s="79" t="s">
        <v>44</v>
      </c>
      <c r="B50" s="147"/>
      <c r="C50" s="52"/>
      <c r="E50" s="148">
        <v>0</v>
      </c>
      <c r="F50" s="30"/>
      <c r="G50" s="149">
        <v>0</v>
      </c>
      <c r="H50" s="33">
        <f>E50*G50</f>
        <v>0</v>
      </c>
    </row>
    <row r="51" spans="1:8" ht="12" customHeight="1">
      <c r="A51" s="79"/>
      <c r="B51" s="30"/>
      <c r="C51" s="52"/>
      <c r="E51" s="35"/>
      <c r="F51" s="30"/>
      <c r="G51" s="48"/>
      <c r="H51" s="33"/>
    </row>
    <row r="52" spans="1:8" ht="12" customHeight="1">
      <c r="C52" s="83" t="s">
        <v>45</v>
      </c>
    </row>
    <row r="53" spans="1:8" ht="12" customHeight="1">
      <c r="A53" s="79" t="s">
        <v>46</v>
      </c>
      <c r="B53" s="51"/>
      <c r="C53" s="50">
        <v>0</v>
      </c>
      <c r="E53" s="41">
        <v>50</v>
      </c>
      <c r="F53" s="30"/>
      <c r="G53" s="48"/>
      <c r="H53" s="33">
        <f>C53*E53</f>
        <v>0</v>
      </c>
    </row>
    <row r="55" spans="1:8" ht="12" customHeight="1">
      <c r="A55" s="79" t="s">
        <v>47</v>
      </c>
      <c r="B55" s="49"/>
      <c r="C55" s="50">
        <v>0</v>
      </c>
      <c r="E55" s="41">
        <v>50</v>
      </c>
      <c r="F55" s="30"/>
      <c r="G55" s="48"/>
      <c r="H55" s="33">
        <f>C55*E55</f>
        <v>0</v>
      </c>
    </row>
    <row r="57" spans="1:8" ht="12" customHeight="1">
      <c r="A57" s="79" t="s">
        <v>48</v>
      </c>
      <c r="B57" s="22"/>
      <c r="C57" s="52"/>
      <c r="D57" s="159"/>
      <c r="E57" s="41"/>
      <c r="F57" s="30"/>
      <c r="H57" s="33">
        <f>E57</f>
        <v>0</v>
      </c>
    </row>
    <row r="59" spans="1:8" ht="12" customHeight="1">
      <c r="A59" s="79" t="s">
        <v>49</v>
      </c>
      <c r="B59" s="22"/>
      <c r="C59" s="52"/>
      <c r="E59" s="41">
        <v>0</v>
      </c>
      <c r="F59" s="30"/>
      <c r="H59" s="33">
        <f>E59</f>
        <v>0</v>
      </c>
    </row>
    <row r="60" spans="1:8" ht="12" customHeight="1">
      <c r="A60"/>
      <c r="B60"/>
      <c r="C60"/>
      <c r="D60"/>
      <c r="E60"/>
      <c r="F60"/>
      <c r="G60"/>
      <c r="H60" s="33"/>
    </row>
    <row r="61" spans="1:8" ht="12" customHeight="1">
      <c r="A61" s="93" t="s">
        <v>50</v>
      </c>
      <c r="B61"/>
      <c r="C61"/>
      <c r="D61"/>
      <c r="E61" s="102">
        <v>2000</v>
      </c>
      <c r="F61"/>
      <c r="G61" s="101">
        <v>0</v>
      </c>
      <c r="H61" s="33">
        <f>E61*G61</f>
        <v>0</v>
      </c>
    </row>
    <row r="62" spans="1:8" ht="12" customHeight="1">
      <c r="A62" s="93"/>
      <c r="B62"/>
      <c r="C62"/>
      <c r="D62"/>
      <c r="E62"/>
      <c r="F62"/>
      <c r="G62"/>
      <c r="H62" s="33"/>
    </row>
    <row r="63" spans="1:8" ht="12" customHeight="1">
      <c r="A63" s="93" t="s">
        <v>51</v>
      </c>
      <c r="B63"/>
      <c r="C63"/>
      <c r="D63"/>
      <c r="E63" s="103"/>
      <c r="F63"/>
      <c r="G63" s="105">
        <f>C12</f>
        <v>0</v>
      </c>
      <c r="H63" s="33">
        <f>E63*G63</f>
        <v>0</v>
      </c>
    </row>
    <row r="64" spans="1:8" ht="12" customHeight="1">
      <c r="A64"/>
      <c r="B64"/>
      <c r="C64"/>
      <c r="D64"/>
      <c r="E64"/>
      <c r="F64"/>
      <c r="G64"/>
      <c r="H64"/>
    </row>
    <row r="65" spans="1:11" ht="12" customHeight="1">
      <c r="A65" s="79" t="s">
        <v>52</v>
      </c>
      <c r="B65" s="96"/>
      <c r="C65" s="52"/>
      <c r="E65" s="41">
        <v>0</v>
      </c>
      <c r="F65" s="30"/>
      <c r="G65" s="48">
        <f>(((G26+G30+G31+G32+G37)/50)+(G19+G20+G21)/500)+1</f>
        <v>1</v>
      </c>
      <c r="H65" s="33">
        <f>E65*G65</f>
        <v>0</v>
      </c>
    </row>
    <row r="66" spans="1:11" ht="12" customHeight="1">
      <c r="A66" s="79"/>
      <c r="B66" s="96"/>
      <c r="C66" s="52"/>
      <c r="E66"/>
      <c r="F66" s="30"/>
      <c r="G66" s="48"/>
      <c r="H66" s="33"/>
    </row>
    <row r="67" spans="1:11" ht="12" customHeight="1">
      <c r="A67"/>
      <c r="B67" s="87" t="s">
        <v>53</v>
      </c>
      <c r="C67" s="87" t="s">
        <v>54</v>
      </c>
      <c r="D67"/>
      <c r="E67"/>
      <c r="F67"/>
      <c r="G67"/>
      <c r="H67"/>
    </row>
    <row r="68" spans="1:11" ht="12" customHeight="1">
      <c r="A68" s="79" t="s">
        <v>55</v>
      </c>
      <c r="B68" s="53">
        <v>0</v>
      </c>
      <c r="C68" s="50">
        <v>0</v>
      </c>
      <c r="D68" s="17"/>
      <c r="E68" s="41">
        <v>0.75</v>
      </c>
      <c r="F68" s="30"/>
      <c r="G68" s="48"/>
      <c r="H68" s="33">
        <f>B68*C68*E68</f>
        <v>0</v>
      </c>
    </row>
    <row r="70" spans="1:11" ht="12" customHeight="1">
      <c r="A70" s="79" t="s">
        <v>56</v>
      </c>
      <c r="B70" s="53">
        <v>0</v>
      </c>
      <c r="C70" s="50">
        <v>0</v>
      </c>
      <c r="D70" s="17"/>
      <c r="E70" s="41">
        <v>1.25</v>
      </c>
      <c r="F70" s="30"/>
      <c r="G70" s="48"/>
      <c r="H70" s="33">
        <f>B70*C70*E70</f>
        <v>0</v>
      </c>
    </row>
    <row r="71" spans="1:11" ht="12" customHeight="1">
      <c r="A71" s="29"/>
      <c r="B71" s="29"/>
      <c r="C71" s="30"/>
      <c r="D71" s="30"/>
      <c r="E71" s="30"/>
      <c r="F71" s="30"/>
      <c r="G71" s="30"/>
      <c r="H71" s="29" t="s">
        <v>57</v>
      </c>
    </row>
    <row r="72" spans="1:11" ht="12" customHeight="1">
      <c r="B72" s="27"/>
      <c r="F72" s="54"/>
      <c r="G72" s="55" t="s">
        <v>58</v>
      </c>
      <c r="H72" s="56">
        <f>SUM(H19:H70)</f>
        <v>0</v>
      </c>
    </row>
    <row r="73" spans="1:11" ht="12.75" customHeight="1">
      <c r="B73" s="27"/>
      <c r="E73" s="17"/>
      <c r="F73" s="55" t="s">
        <v>59</v>
      </c>
      <c r="G73" s="80">
        <v>0.06</v>
      </c>
      <c r="H73" s="56">
        <f>(H72*G73)</f>
        <v>0</v>
      </c>
    </row>
    <row r="74" spans="1:11" ht="18" customHeight="1">
      <c r="A74" s="79" t="s">
        <v>60</v>
      </c>
    </row>
    <row r="75" spans="1:11" ht="12" customHeight="1">
      <c r="A75" s="29" t="s">
        <v>14</v>
      </c>
      <c r="B75" s="29"/>
    </row>
    <row r="76" spans="1:11" ht="36.75" customHeight="1">
      <c r="B76" s="57" t="s">
        <v>61</v>
      </c>
      <c r="C76" s="57" t="s">
        <v>62</v>
      </c>
      <c r="D76" s="57" t="s">
        <v>63</v>
      </c>
      <c r="E76" s="57" t="s">
        <v>64</v>
      </c>
      <c r="F76" s="57" t="s">
        <v>65</v>
      </c>
      <c r="G76" s="57" t="s">
        <v>66</v>
      </c>
      <c r="H76" s="57" t="s">
        <v>19</v>
      </c>
      <c r="J76" s="57" t="s">
        <v>67</v>
      </c>
      <c r="K76" s="65"/>
    </row>
    <row r="77" spans="1:11" ht="12" customHeight="1">
      <c r="D77" s="83"/>
      <c r="F77" s="83"/>
      <c r="K77" s="65"/>
    </row>
    <row r="78" spans="1:11" ht="12" customHeight="1">
      <c r="A78" s="79" t="s">
        <v>68</v>
      </c>
      <c r="B78" s="58"/>
      <c r="C78" s="40">
        <v>3</v>
      </c>
      <c r="D78" s="59">
        <f>(B78*People!B11)*C78</f>
        <v>0</v>
      </c>
      <c r="E78" s="60"/>
      <c r="F78" s="61"/>
      <c r="G78" s="62">
        <f>(E78+F78)*People!C3</f>
        <v>0</v>
      </c>
      <c r="H78" s="63">
        <f>IF(G78=0, B78*J78, D78*G78)</f>
        <v>0</v>
      </c>
      <c r="J78" s="64">
        <f>IF(C78=1,People!$D$12)+IF(C78=2,People!$E$12)+IF(C78=3,People!$F$12)+IF(C78=4,People!$G$12)+IF(C78=5,People!$H$12)+IF(C78=6,People!$I$12)+IF(C78=7,People!$J$12)+IF(C78=8,People!$K$12)</f>
        <v>1449</v>
      </c>
      <c r="K78" s="65"/>
    </row>
    <row r="79" spans="1:11" ht="12" customHeight="1">
      <c r="B79" s="30"/>
      <c r="C79" s="26"/>
      <c r="E79" s="83"/>
      <c r="J79" s="66"/>
      <c r="K79" s="65"/>
    </row>
    <row r="80" spans="1:11" ht="12" customHeight="1">
      <c r="A80" s="79" t="s">
        <v>69</v>
      </c>
      <c r="B80" s="67"/>
      <c r="C80" s="40">
        <v>3</v>
      </c>
      <c r="D80" s="59">
        <f>(B80*People!B11)*C80</f>
        <v>0</v>
      </c>
      <c r="E80" s="60"/>
      <c r="F80" s="68"/>
      <c r="G80" s="62">
        <f>(E80+F80)*People!C3</f>
        <v>0</v>
      </c>
      <c r="H80" s="63">
        <f>IF(G80=0, B80*J80, D80*G80)</f>
        <v>0</v>
      </c>
      <c r="J80" s="64">
        <f>IF(C80=1,People!D12)+IF(C80=2,People!E12)+IF(C80=3,People!F12)+IF(C80=4,People!G12)+IF(C80=5,People!H12)+IF(C80=6,People!I12)+IF(C80=7,People!J12)+IF(C80=8,People!K12)</f>
        <v>1449</v>
      </c>
      <c r="K80" s="65"/>
    </row>
    <row r="81" spans="1:11" ht="12" customHeight="1">
      <c r="B81" s="83"/>
      <c r="C81" s="26"/>
      <c r="J81" s="66"/>
      <c r="K81" s="65"/>
    </row>
    <row r="82" spans="1:11" ht="12" customHeight="1">
      <c r="A82" s="79" t="s">
        <v>70</v>
      </c>
      <c r="B82" s="67"/>
      <c r="C82" s="40">
        <v>3</v>
      </c>
      <c r="D82" s="59">
        <f>(B82*People!B11)*C82</f>
        <v>0</v>
      </c>
      <c r="E82" s="60"/>
      <c r="F82" s="68"/>
      <c r="G82" s="62">
        <f>(E82+F82)*People!C3</f>
        <v>0</v>
      </c>
      <c r="H82" s="63">
        <f>IF(G82=0, B82*J82, D82*G82)</f>
        <v>0</v>
      </c>
      <c r="J82" s="64">
        <f>IF(C82=1,People!D12)+IF(C82=2,People!E12)+IF(C82=3,People!F12)+IF(C82=4,People!G12)+IF(C82=5,People!H12)+IF(C82=6,People!I12)+IF(C82=7,People!J12)+IF(C82=8,People!K12)</f>
        <v>1449</v>
      </c>
      <c r="K82" s="65"/>
    </row>
    <row r="83" spans="1:11" ht="12" customHeight="1">
      <c r="B83" s="83"/>
      <c r="C83" s="26"/>
      <c r="J83" s="66"/>
    </row>
    <row r="84" spans="1:11" ht="12" customHeight="1">
      <c r="A84" s="79" t="s">
        <v>27</v>
      </c>
      <c r="B84" s="67"/>
      <c r="C84" s="40">
        <v>3</v>
      </c>
      <c r="D84" s="59">
        <f>(B84*People!B11)*C84</f>
        <v>0</v>
      </c>
      <c r="E84" s="60"/>
      <c r="F84" s="68"/>
      <c r="G84" s="62">
        <f>(E84+F84)*People!C3</f>
        <v>0</v>
      </c>
      <c r="H84" s="63">
        <f>IF(G84=0, B84*J84, D84*G84)</f>
        <v>0</v>
      </c>
      <c r="J84" s="64">
        <f>IF(C84=1,People!D12)+IF(C84=2,People!E12)+IF(C84=3,People!F12)+IF(C84=4,People!G12)+IF(C84=5,People!H12)+IF(C84=6,People!I12)+IF(C84=7,People!J12)+IF(C84=8,People!K12)</f>
        <v>1449</v>
      </c>
    </row>
    <row r="85" spans="1:11" ht="12" customHeight="1">
      <c r="B85" s="83"/>
      <c r="C85" s="26"/>
      <c r="J85" s="66"/>
    </row>
    <row r="86" spans="1:11" ht="12" customHeight="1">
      <c r="A86" s="79" t="s">
        <v>20</v>
      </c>
      <c r="B86" s="67"/>
      <c r="C86" s="40">
        <v>3</v>
      </c>
      <c r="D86" s="59">
        <f>(B86*People!B11)*C86</f>
        <v>0</v>
      </c>
      <c r="E86" s="60"/>
      <c r="F86" s="68"/>
      <c r="G86" s="62">
        <f>(E86+F86)*People!C3</f>
        <v>0</v>
      </c>
      <c r="H86" s="63">
        <f>IF(G86=0, B86*J86, D86*G86)</f>
        <v>0</v>
      </c>
      <c r="J86" s="64">
        <f>IF(C86=1,People!D12)+IF(C86=2,People!E12)+IF(C86=3,People!F12)+IF(C86=4,People!G12)+IF(C86=5,People!H12)+IF(C86=6,People!I12)+IF(C86=7,People!J12)+IF(C86=8,People!K12)</f>
        <v>1449</v>
      </c>
    </row>
    <row r="87" spans="1:11" ht="12" customHeight="1">
      <c r="B87" s="83"/>
      <c r="C87" s="26"/>
      <c r="J87" s="66"/>
    </row>
    <row r="88" spans="1:11" ht="12" customHeight="1">
      <c r="A88" s="79" t="s">
        <v>71</v>
      </c>
      <c r="B88" s="67"/>
      <c r="C88" s="40">
        <v>3</v>
      </c>
      <c r="D88" s="59">
        <f>(B88*People!B11)*C88</f>
        <v>0</v>
      </c>
      <c r="E88" s="60"/>
      <c r="F88" s="68"/>
      <c r="G88" s="62">
        <f>(E88+F88)*People!C3</f>
        <v>0</v>
      </c>
      <c r="H88" s="63">
        <f>IF(G88=0, B88*J88, D88*G88)</f>
        <v>0</v>
      </c>
      <c r="J88" s="64">
        <f>IF(C88=1,People!D12)+IF(C88=2,People!E12)+IF(C88=3,People!F12)+IF(C88=4,People!G12)+IF(C88=5,People!H12)+IF(C88=6,People!I12)+IF(C88=7,People!J12)+IF(C88=8,People!K12)</f>
        <v>1449</v>
      </c>
    </row>
    <row r="89" spans="1:11" ht="12" customHeight="1">
      <c r="B89" s="83"/>
      <c r="C89" s="26"/>
      <c r="J89" s="66"/>
    </row>
    <row r="90" spans="1:11" ht="12" customHeight="1">
      <c r="A90" s="79" t="s">
        <v>48</v>
      </c>
      <c r="B90" s="67"/>
      <c r="C90" s="40">
        <v>3</v>
      </c>
      <c r="D90" s="59">
        <f>(B90*People!B11)*C90</f>
        <v>0</v>
      </c>
      <c r="E90" s="60"/>
      <c r="F90" s="68"/>
      <c r="G90" s="62">
        <f>(E90+F90)*People!C3</f>
        <v>0</v>
      </c>
      <c r="H90" s="63">
        <f>IF(G90=0, B90*J90, D90*G90)</f>
        <v>0</v>
      </c>
      <c r="J90" s="64">
        <f>IF(C90=1,People!D12)+IF(C90=2,People!E12)+IF(C90=3,People!F12)+IF(C90=4,People!G12)+IF(C90=5,People!H12)+IF(C90=6,People!I12)+IF(C90=7,People!J12)+IF(C90=8,People!K12)</f>
        <v>1449</v>
      </c>
    </row>
    <row r="91" spans="1:11" ht="12" customHeight="1">
      <c r="B91" s="83"/>
      <c r="C91" s="26"/>
      <c r="J91" s="66"/>
    </row>
    <row r="92" spans="1:11" ht="12" customHeight="1">
      <c r="A92" s="79" t="s">
        <v>72</v>
      </c>
      <c r="B92" s="67"/>
      <c r="C92" s="40">
        <v>3</v>
      </c>
      <c r="D92" s="59">
        <f>(B92*People!B11)*C92</f>
        <v>0</v>
      </c>
      <c r="E92" s="60"/>
      <c r="F92" s="68"/>
      <c r="G92" s="62">
        <f>(E92+F92)*People!C3</f>
        <v>0</v>
      </c>
      <c r="H92" s="63">
        <f>IF(G92=0, B92*J92, D92*G92)</f>
        <v>0</v>
      </c>
      <c r="J92" s="64">
        <f>IF(C92=1,People!D12)+IF(C92=2,People!E12)+IF(C92=3,People!F12)+IF(C92=4,People!G12)+IF(C92=5,People!H12)+IF(C92=6,People!I12)+IF(C92=7,People!J12)+IF(C92=8,People!K12)</f>
        <v>1449</v>
      </c>
    </row>
    <row r="93" spans="1:11" ht="12" customHeight="1">
      <c r="A93" s="79"/>
      <c r="B93"/>
      <c r="C93"/>
      <c r="D93"/>
      <c r="E93"/>
      <c r="F93"/>
      <c r="G93" s="62"/>
      <c r="H93" s="63"/>
      <c r="J93" s="66"/>
    </row>
    <row r="94" spans="1:11" ht="12" customHeight="1">
      <c r="B94" s="83"/>
      <c r="C94" s="83" t="s">
        <v>73</v>
      </c>
      <c r="E94" s="87" t="s">
        <v>62</v>
      </c>
      <c r="G94" s="83" t="s">
        <v>74</v>
      </c>
      <c r="J94" s="64"/>
    </row>
    <row r="95" spans="1:11" ht="12" customHeight="1">
      <c r="A95" s="79" t="s">
        <v>75</v>
      </c>
      <c r="B95"/>
      <c r="C95" s="161"/>
      <c r="D95" s="90"/>
      <c r="E95" s="31">
        <v>1</v>
      </c>
      <c r="F95" s="89"/>
      <c r="G95" s="126">
        <v>25.5</v>
      </c>
      <c r="H95" s="92">
        <f>IF(E95=1,People!B3*C95,IF(E95=2,(People!B3+People!B4)*C95,))*B70</f>
        <v>0</v>
      </c>
    </row>
    <row r="96" spans="1:11" ht="12" customHeight="1">
      <c r="A96" s="79"/>
      <c r="B96"/>
      <c r="C96"/>
      <c r="D96" s="59"/>
      <c r="E96"/>
      <c r="F96"/>
      <c r="G96" s="62"/>
      <c r="H96" s="63"/>
    </row>
    <row r="97" spans="1:8" ht="12" customHeight="1">
      <c r="A97" s="79" t="s">
        <v>76</v>
      </c>
      <c r="C97" s="119"/>
      <c r="D97" s="42"/>
      <c r="E97" s="120">
        <v>3</v>
      </c>
      <c r="F97" s="34"/>
      <c r="G97" s="91">
        <v>14.25</v>
      </c>
      <c r="H97" s="97">
        <f>C97*E97*G97*B70</f>
        <v>0</v>
      </c>
    </row>
    <row r="98" spans="1:8" ht="12" customHeight="1">
      <c r="A98" s="79"/>
      <c r="B98"/>
      <c r="C98"/>
      <c r="D98"/>
      <c r="E98"/>
      <c r="F98"/>
      <c r="G98"/>
      <c r="H98" s="46"/>
    </row>
    <row r="99" spans="1:8" ht="12" customHeight="1">
      <c r="A99" s="79"/>
      <c r="C99" s="83" t="s">
        <v>77</v>
      </c>
      <c r="D99" s="52"/>
      <c r="E99" s="83"/>
      <c r="F99" s="30"/>
      <c r="G99" s="83"/>
      <c r="H99" s="33"/>
    </row>
    <row r="100" spans="1:8" ht="12" customHeight="1">
      <c r="A100" s="79" t="s">
        <v>78</v>
      </c>
      <c r="C100" s="47"/>
      <c r="D100" s="42"/>
      <c r="E100" s="47"/>
      <c r="F100" s="34"/>
      <c r="G100" s="91">
        <v>125</v>
      </c>
      <c r="H100" s="97">
        <f>C100*E100*G100</f>
        <v>0</v>
      </c>
    </row>
    <row r="102" spans="1:8" ht="12" customHeight="1">
      <c r="A102" s="29" t="s">
        <v>14</v>
      </c>
      <c r="B102" s="29"/>
      <c r="C102" s="30"/>
      <c r="D102" s="30"/>
      <c r="E102" s="30"/>
      <c r="F102" s="30"/>
      <c r="G102" s="30"/>
      <c r="H102" s="29" t="s">
        <v>14</v>
      </c>
    </row>
    <row r="103" spans="1:8" ht="12" customHeight="1">
      <c r="A103" s="69" t="s">
        <v>63</v>
      </c>
      <c r="B103" s="43">
        <f>D78+D80+D82+D84+D86+D88+D90+D92+((C95*E95)+(C97*E97))*B70</f>
        <v>0</v>
      </c>
      <c r="C103" s="69" t="s">
        <v>79</v>
      </c>
      <c r="D103" s="70">
        <f>SUM(B78:B95)</f>
        <v>0</v>
      </c>
      <c r="E103" s="54"/>
      <c r="F103" s="54"/>
      <c r="G103" s="55" t="s">
        <v>80</v>
      </c>
      <c r="H103" s="56">
        <f>SUM(H78:H100)</f>
        <v>0</v>
      </c>
    </row>
    <row r="105" spans="1:8" ht="12" customHeight="1">
      <c r="A105" s="79" t="s">
        <v>81</v>
      </c>
      <c r="G105" s="106"/>
      <c r="H105" s="33"/>
    </row>
    <row r="106" spans="1:8" ht="12" customHeight="1">
      <c r="A106" s="29" t="s">
        <v>14</v>
      </c>
      <c r="B106" s="29"/>
      <c r="C106" s="29"/>
    </row>
    <row r="107" spans="1:8" ht="12" customHeight="1">
      <c r="A107" s="79"/>
      <c r="B107" s="79"/>
      <c r="C107" s="79"/>
      <c r="D107" s="79"/>
      <c r="E107" s="79"/>
      <c r="F107" s="79"/>
      <c r="H107" s="160" t="s">
        <v>19</v>
      </c>
    </row>
    <row r="108" spans="1:8" ht="12" customHeight="1">
      <c r="A108" s="79"/>
      <c r="B108" s="79"/>
      <c r="C108" s="79"/>
      <c r="D108" s="79"/>
      <c r="E108" s="79"/>
      <c r="F108" s="79"/>
    </row>
    <row r="109" spans="1:8" ht="12" customHeight="1">
      <c r="A109" s="79" t="s">
        <v>82</v>
      </c>
      <c r="E109" s="162" t="s">
        <v>19</v>
      </c>
      <c r="F109" s="71">
        <v>0</v>
      </c>
      <c r="H109" s="33">
        <f>F109</f>
        <v>0</v>
      </c>
    </row>
    <row r="111" spans="1:8" ht="12" customHeight="1">
      <c r="A111" s="79" t="s">
        <v>83</v>
      </c>
      <c r="B111" s="72" t="s">
        <v>84</v>
      </c>
      <c r="C111" s="72"/>
      <c r="D111" s="72"/>
      <c r="E111" s="162" t="s">
        <v>19</v>
      </c>
      <c r="F111" s="71">
        <v>0</v>
      </c>
      <c r="H111" s="33">
        <f>F111</f>
        <v>0</v>
      </c>
    </row>
    <row r="113" spans="1:8" ht="12" customHeight="1">
      <c r="A113" s="29"/>
      <c r="B113" s="29"/>
      <c r="C113" s="30"/>
      <c r="D113" s="30"/>
      <c r="E113" s="30"/>
      <c r="F113" s="30"/>
      <c r="G113" s="30"/>
      <c r="H113" s="29" t="s">
        <v>14</v>
      </c>
    </row>
    <row r="114" spans="1:8" ht="12" customHeight="1">
      <c r="B114" s="27"/>
      <c r="C114" s="27"/>
      <c r="D114" s="163"/>
      <c r="E114" s="164"/>
      <c r="F114" s="164"/>
      <c r="G114" s="55" t="s">
        <v>85</v>
      </c>
      <c r="H114" s="165">
        <f>H109+H111</f>
        <v>0</v>
      </c>
    </row>
    <row r="115" spans="1:8" ht="12" customHeight="1">
      <c r="A115" s="29"/>
      <c r="B115" s="29"/>
      <c r="C115" s="30"/>
      <c r="D115" s="30"/>
      <c r="E115" s="30"/>
      <c r="F115" s="30"/>
      <c r="G115" s="30"/>
      <c r="H115" s="29" t="s">
        <v>14</v>
      </c>
    </row>
    <row r="116" spans="1:8" ht="12" customHeight="1">
      <c r="A116" s="6" t="s">
        <v>86</v>
      </c>
      <c r="C116" s="30"/>
      <c r="D116" s="27"/>
      <c r="H116" s="81">
        <f>H72+H103+H114</f>
        <v>0</v>
      </c>
    </row>
    <row r="118" spans="1:8" ht="12" customHeight="1">
      <c r="A118" s="6" t="s">
        <v>87</v>
      </c>
      <c r="E118" s="106" t="s">
        <v>88</v>
      </c>
      <c r="F118" s="44">
        <v>35</v>
      </c>
      <c r="H118" s="166">
        <f>H116*(F118/100)</f>
        <v>0</v>
      </c>
    </row>
    <row r="119" spans="1:8" ht="12" customHeight="1">
      <c r="H119" s="73"/>
    </row>
    <row r="120" spans="1:8" ht="12" customHeight="1">
      <c r="A120" s="6" t="s">
        <v>89</v>
      </c>
      <c r="E120" s="106" t="s">
        <v>88</v>
      </c>
      <c r="F120" s="44">
        <v>15</v>
      </c>
      <c r="H120" s="74">
        <f>(H116+H118)*(F120/100)</f>
        <v>0</v>
      </c>
    </row>
    <row r="121" spans="1:8" ht="12" customHeight="1">
      <c r="H121" s="29" t="s">
        <v>14</v>
      </c>
    </row>
    <row r="122" spans="1:8" ht="12" customHeight="1">
      <c r="A122" s="6" t="s">
        <v>90</v>
      </c>
      <c r="H122" s="81">
        <f>SUM(H73+H116+H118+H120)</f>
        <v>0</v>
      </c>
    </row>
    <row r="123" spans="1:8" ht="12" customHeight="1">
      <c r="A123" s="6" t="s">
        <v>91</v>
      </c>
      <c r="F123" s="159"/>
      <c r="H123" s="127">
        <f>H122+SUM(F125:F134)</f>
        <v>0</v>
      </c>
    </row>
    <row r="124" spans="1:8" ht="12" customHeight="1">
      <c r="F124" s="159"/>
      <c r="H124" s="29" t="s">
        <v>14</v>
      </c>
    </row>
    <row r="125" spans="1:8" ht="12" customHeight="1">
      <c r="H125" s="29"/>
    </row>
    <row r="126" spans="1:8" s="75" customFormat="1" ht="12" customHeight="1">
      <c r="A126" s="79" t="s">
        <v>92</v>
      </c>
      <c r="B126" s="16"/>
      <c r="C126" s="16"/>
      <c r="D126" s="16"/>
      <c r="E126" s="16"/>
      <c r="F126" s="82"/>
      <c r="G126" s="158"/>
      <c r="H126" s="29"/>
    </row>
    <row r="127" spans="1:8" ht="12" customHeight="1">
      <c r="A127" s="79" t="s">
        <v>92</v>
      </c>
      <c r="F127" s="77"/>
      <c r="H127" s="29"/>
    </row>
    <row r="128" spans="1:8" ht="12" customHeight="1">
      <c r="A128" s="79" t="s">
        <v>92</v>
      </c>
      <c r="B128" s="75"/>
      <c r="C128" s="75"/>
      <c r="D128" s="75"/>
      <c r="E128" s="75"/>
      <c r="F128" s="76"/>
      <c r="G128" s="75"/>
      <c r="H128" s="75"/>
    </row>
    <row r="129" spans="1:9" ht="12" customHeight="1">
      <c r="A129" s="79" t="s">
        <v>92</v>
      </c>
      <c r="B129" s="79"/>
      <c r="F129" s="77"/>
      <c r="G129" s="158"/>
      <c r="H129" s="29"/>
    </row>
    <row r="130" spans="1:9" ht="12" customHeight="1">
      <c r="A130" s="79" t="s">
        <v>92</v>
      </c>
      <c r="B130" s="79"/>
      <c r="F130" s="77"/>
      <c r="H130" s="29"/>
    </row>
    <row r="131" spans="1:9" s="75" customFormat="1" ht="12" customHeight="1">
      <c r="A131" s="79" t="s">
        <v>92</v>
      </c>
      <c r="B131" s="79"/>
      <c r="C131" s="16"/>
      <c r="D131" s="16"/>
      <c r="E131" s="16"/>
      <c r="F131" s="77"/>
      <c r="G131" s="16"/>
      <c r="H131" s="29"/>
    </row>
    <row r="132" spans="1:9" ht="12" customHeight="1">
      <c r="A132" s="79" t="s">
        <v>92</v>
      </c>
      <c r="B132" s="79"/>
      <c r="F132" s="150"/>
      <c r="H132" s="29"/>
    </row>
    <row r="133" spans="1:9" ht="12" customHeight="1">
      <c r="A133" s="6" t="s">
        <v>92</v>
      </c>
      <c r="B133" s="75"/>
      <c r="C133" s="75"/>
      <c r="D133" s="75"/>
      <c r="E133" s="75"/>
      <c r="F133" s="151"/>
      <c r="G133" s="75"/>
      <c r="H133" s="75"/>
    </row>
    <row r="134" spans="1:9" ht="12" customHeight="1">
      <c r="H134" s="29"/>
    </row>
    <row r="135" spans="1:9" ht="12" customHeight="1">
      <c r="A135" s="167" t="s">
        <v>93</v>
      </c>
      <c r="F135" s="17"/>
      <c r="H135" s="168"/>
    </row>
    <row r="137" spans="1:9" ht="12" customHeight="1">
      <c r="A137" s="14" t="s">
        <v>94</v>
      </c>
      <c r="B137" s="12" t="e">
        <f>H123/C12</f>
        <v>#DIV/0!</v>
      </c>
      <c r="C137" s="13" t="s">
        <v>95</v>
      </c>
      <c r="D137" s="15">
        <f>SUM((G19+G20+G21)/1000)</f>
        <v>0</v>
      </c>
      <c r="F137" s="17"/>
      <c r="G137" s="18"/>
      <c r="H137" s="168"/>
    </row>
    <row r="143" spans="1:9" ht="12" customHeight="1">
      <c r="I143"/>
    </row>
    <row r="144" spans="1:9" ht="12" customHeight="1">
      <c r="I144"/>
    </row>
    <row r="145" spans="1:9" ht="12" customHeight="1">
      <c r="A145"/>
      <c r="B145"/>
      <c r="C145"/>
      <c r="D145"/>
      <c r="E145"/>
      <c r="F145"/>
      <c r="G145"/>
      <c r="H145"/>
      <c r="I145"/>
    </row>
    <row r="146" spans="1:9" ht="12" customHeight="1">
      <c r="A146"/>
      <c r="B146"/>
      <c r="C146"/>
      <c r="D146"/>
      <c r="E146"/>
      <c r="F146"/>
      <c r="G146"/>
      <c r="H146"/>
      <c r="I146"/>
    </row>
    <row r="147" spans="1:9" ht="12" customHeight="1">
      <c r="A147"/>
      <c r="B147"/>
      <c r="C147"/>
      <c r="D147"/>
      <c r="E147"/>
      <c r="F147"/>
      <c r="G147"/>
      <c r="H147"/>
      <c r="I147"/>
    </row>
    <row r="148" spans="1:9" ht="12" customHeight="1">
      <c r="A148"/>
      <c r="B148"/>
      <c r="C148"/>
      <c r="D148"/>
      <c r="E148"/>
      <c r="F148"/>
      <c r="G148"/>
      <c r="H148"/>
    </row>
    <row r="149" spans="1:9" ht="12" customHeight="1">
      <c r="A149"/>
      <c r="B149"/>
      <c r="C149"/>
      <c r="D149"/>
      <c r="E149"/>
      <c r="F149"/>
      <c r="G149"/>
      <c r="H149"/>
    </row>
  </sheetData>
  <mergeCells count="3">
    <mergeCell ref="G1:H1"/>
    <mergeCell ref="G2:H2"/>
    <mergeCell ref="G3:H3"/>
  </mergeCells>
  <phoneticPr fontId="5" type="noConversion"/>
  <printOptions gridLinesSet="0"/>
  <pageMargins left="0.25" right="0.25" top="0.75" bottom="0.75" header="0.3" footer="0.3"/>
  <pageSetup fitToWidth="0" fitToHeight="0" orientation="portrait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3"/>
  <sheetViews>
    <sheetView workbookViewId="0">
      <selection activeCell="A34" sqref="A34"/>
    </sheetView>
  </sheetViews>
  <sheetFormatPr defaultRowHeight="12.75"/>
  <cols>
    <col min="1" max="1" width="24.42578125" customWidth="1"/>
    <col min="5" max="5" width="9.7109375" customWidth="1"/>
  </cols>
  <sheetData>
    <row r="1" spans="1:13">
      <c r="E1" s="220" t="s">
        <v>96</v>
      </c>
      <c r="F1" s="221"/>
      <c r="G1" s="221"/>
      <c r="H1" s="221"/>
      <c r="I1" s="221"/>
      <c r="J1" s="221"/>
      <c r="K1" s="222"/>
    </row>
    <row r="2" spans="1:13" s="1" customFormat="1" ht="25.5">
      <c r="A2" s="169" t="s">
        <v>97</v>
      </c>
      <c r="B2" s="170" t="s">
        <v>98</v>
      </c>
      <c r="C2" s="170" t="s">
        <v>99</v>
      </c>
      <c r="D2" s="170">
        <v>1</v>
      </c>
      <c r="E2" s="170">
        <v>2</v>
      </c>
      <c r="F2" s="170">
        <v>3</v>
      </c>
      <c r="G2" s="170">
        <v>4</v>
      </c>
      <c r="H2" s="170">
        <v>5</v>
      </c>
      <c r="I2" s="170">
        <v>6</v>
      </c>
      <c r="J2" s="170">
        <v>7</v>
      </c>
      <c r="K2" s="170">
        <v>8</v>
      </c>
      <c r="L2" s="171"/>
      <c r="M2" s="171"/>
    </row>
    <row r="3" spans="1:13">
      <c r="A3" s="2" t="s">
        <v>100</v>
      </c>
      <c r="B3" s="10">
        <v>34</v>
      </c>
      <c r="C3" s="11">
        <v>1.5</v>
      </c>
      <c r="D3" s="88">
        <f>B3*C3</f>
        <v>51</v>
      </c>
      <c r="E3" s="8">
        <f>B3*C3</f>
        <v>51</v>
      </c>
      <c r="F3" s="8">
        <f>B3*C3</f>
        <v>51</v>
      </c>
      <c r="G3" s="8">
        <f>B3*C3</f>
        <v>51</v>
      </c>
      <c r="H3" s="8">
        <f>B3*C3</f>
        <v>51</v>
      </c>
      <c r="I3" s="8">
        <f t="shared" ref="I3:I8" si="0">B3*C3</f>
        <v>51</v>
      </c>
      <c r="J3" s="8">
        <f t="shared" ref="J3:J9" si="1">B3*C3</f>
        <v>51</v>
      </c>
      <c r="K3" s="8">
        <f t="shared" ref="K3:K10" si="2">B3*C3</f>
        <v>51</v>
      </c>
      <c r="L3" s="4"/>
      <c r="M3" s="85"/>
    </row>
    <row r="4" spans="1:13">
      <c r="A4" s="2" t="s">
        <v>101</v>
      </c>
      <c r="B4" s="10">
        <v>25</v>
      </c>
      <c r="C4" s="11">
        <v>1.5</v>
      </c>
      <c r="D4" s="9"/>
      <c r="E4" s="8">
        <f>B4*C4</f>
        <v>37.5</v>
      </c>
      <c r="F4" s="8">
        <f>B4*C4</f>
        <v>37.5</v>
      </c>
      <c r="G4" s="8">
        <f>B4*C4</f>
        <v>37.5</v>
      </c>
      <c r="H4" s="8">
        <f>B4*C4</f>
        <v>37.5</v>
      </c>
      <c r="I4" s="8">
        <f t="shared" si="0"/>
        <v>37.5</v>
      </c>
      <c r="J4" s="8">
        <f t="shared" si="1"/>
        <v>37.5</v>
      </c>
      <c r="K4" s="8">
        <f t="shared" si="2"/>
        <v>37.5</v>
      </c>
    </row>
    <row r="5" spans="1:13">
      <c r="A5" s="2" t="s">
        <v>102</v>
      </c>
      <c r="B5" s="10">
        <v>21.5</v>
      </c>
      <c r="C5" s="11">
        <v>1.5</v>
      </c>
      <c r="D5" s="9"/>
      <c r="E5" s="9"/>
      <c r="F5" s="8">
        <f>B5*C5</f>
        <v>32.25</v>
      </c>
      <c r="G5" s="8">
        <f>B5*C5</f>
        <v>32.25</v>
      </c>
      <c r="H5" s="8">
        <f>B5*C5</f>
        <v>32.25</v>
      </c>
      <c r="I5" s="8">
        <f t="shared" si="0"/>
        <v>32.25</v>
      </c>
      <c r="J5" s="8">
        <f t="shared" si="1"/>
        <v>32.25</v>
      </c>
      <c r="K5" s="8">
        <f t="shared" si="2"/>
        <v>32.25</v>
      </c>
    </row>
    <row r="6" spans="1:13">
      <c r="A6" s="2" t="s">
        <v>103</v>
      </c>
      <c r="B6" s="10">
        <v>21</v>
      </c>
      <c r="C6" s="11">
        <v>1.5</v>
      </c>
      <c r="D6" s="9"/>
      <c r="E6" s="9"/>
      <c r="F6" s="9"/>
      <c r="G6" s="8">
        <f>B6*C6</f>
        <v>31.5</v>
      </c>
      <c r="H6" s="8">
        <f>B6*C6</f>
        <v>31.5</v>
      </c>
      <c r="I6" s="8">
        <f t="shared" si="0"/>
        <v>31.5</v>
      </c>
      <c r="J6" s="8">
        <f t="shared" si="1"/>
        <v>31.5</v>
      </c>
      <c r="K6" s="8">
        <f t="shared" si="2"/>
        <v>31.5</v>
      </c>
    </row>
    <row r="7" spans="1:13">
      <c r="A7" s="2" t="s">
        <v>104</v>
      </c>
      <c r="B7" s="10">
        <v>20</v>
      </c>
      <c r="C7" s="11">
        <v>1.5</v>
      </c>
      <c r="D7" s="9"/>
      <c r="E7" s="9"/>
      <c r="F7" s="9"/>
      <c r="G7" s="9"/>
      <c r="H7" s="8">
        <f>B7*C7</f>
        <v>30</v>
      </c>
      <c r="I7" s="8">
        <f t="shared" si="0"/>
        <v>30</v>
      </c>
      <c r="J7" s="8">
        <f t="shared" si="1"/>
        <v>30</v>
      </c>
      <c r="K7" s="8">
        <f t="shared" si="2"/>
        <v>30</v>
      </c>
    </row>
    <row r="8" spans="1:13">
      <c r="A8" s="2" t="s">
        <v>104</v>
      </c>
      <c r="B8" s="10">
        <v>20</v>
      </c>
      <c r="C8" s="11">
        <v>1.5</v>
      </c>
      <c r="D8" s="9"/>
      <c r="E8" s="9"/>
      <c r="F8" s="9"/>
      <c r="G8" s="9"/>
      <c r="H8" s="9"/>
      <c r="I8" s="8">
        <f t="shared" si="0"/>
        <v>30</v>
      </c>
      <c r="J8" s="8">
        <f t="shared" si="1"/>
        <v>30</v>
      </c>
      <c r="K8" s="8">
        <f t="shared" si="2"/>
        <v>30</v>
      </c>
    </row>
    <row r="9" spans="1:13">
      <c r="A9" s="2" t="s">
        <v>104</v>
      </c>
      <c r="B9" s="10">
        <v>18</v>
      </c>
      <c r="C9" s="11">
        <v>1.5</v>
      </c>
      <c r="D9" s="9"/>
      <c r="E9" s="9"/>
      <c r="F9" s="9"/>
      <c r="G9" s="9"/>
      <c r="H9" s="9"/>
      <c r="I9" s="9"/>
      <c r="J9" s="8">
        <f t="shared" si="1"/>
        <v>27</v>
      </c>
      <c r="K9" s="8">
        <f t="shared" si="2"/>
        <v>27</v>
      </c>
    </row>
    <row r="10" spans="1:13">
      <c r="A10" s="2" t="s">
        <v>104</v>
      </c>
      <c r="B10" s="10">
        <v>18</v>
      </c>
      <c r="C10" s="11">
        <v>1.5</v>
      </c>
      <c r="D10" s="9"/>
      <c r="E10" s="9"/>
      <c r="F10" s="9"/>
      <c r="G10" s="9"/>
      <c r="H10" s="9"/>
      <c r="I10" s="9"/>
      <c r="J10" s="9"/>
      <c r="K10" s="8">
        <f t="shared" si="2"/>
        <v>27</v>
      </c>
    </row>
    <row r="11" spans="1:13">
      <c r="A11" s="7" t="s">
        <v>105</v>
      </c>
      <c r="B11" s="11">
        <v>12</v>
      </c>
      <c r="C11" s="9"/>
      <c r="D11" s="9"/>
      <c r="E11" s="9"/>
      <c r="F11" s="9"/>
      <c r="G11" s="9"/>
      <c r="H11" s="9"/>
      <c r="I11" s="9"/>
      <c r="J11" s="9"/>
      <c r="K11" s="9"/>
    </row>
    <row r="12" spans="1:13" s="3" customFormat="1">
      <c r="A12" s="172" t="s">
        <v>106</v>
      </c>
      <c r="B12" s="173"/>
      <c r="C12" s="173"/>
      <c r="D12" s="174">
        <f>SUM(D3:D10)*B11</f>
        <v>612</v>
      </c>
      <c r="E12" s="174">
        <f>SUM(E3:E10)*B11</f>
        <v>1062</v>
      </c>
      <c r="F12" s="174">
        <f>SUM(F3:F10)*B11</f>
        <v>1449</v>
      </c>
      <c r="G12" s="174">
        <f>SUM(G3:G10)*B11</f>
        <v>1827</v>
      </c>
      <c r="H12" s="174">
        <f>SUM(H3:H10)*B11</f>
        <v>2187</v>
      </c>
      <c r="I12" s="174">
        <f>SUM(I3:I10)*B11</f>
        <v>2547</v>
      </c>
      <c r="J12" s="174">
        <f>SUM(J3:J10)*B11</f>
        <v>2871</v>
      </c>
      <c r="K12" s="174">
        <f>SUM(K3:K10)*B11</f>
        <v>3195</v>
      </c>
      <c r="L12" s="175"/>
      <c r="M12" s="175"/>
    </row>
    <row r="14" spans="1:13">
      <c r="A14" s="84"/>
    </row>
    <row r="15" spans="1:13">
      <c r="A15" s="84" t="s">
        <v>107</v>
      </c>
      <c r="B15" s="86" t="s">
        <v>108</v>
      </c>
      <c r="C15" s="86" t="s">
        <v>109</v>
      </c>
      <c r="D15" s="86"/>
    </row>
    <row r="16" spans="1:13">
      <c r="A16" t="s">
        <v>110</v>
      </c>
      <c r="B16" s="156">
        <v>34</v>
      </c>
      <c r="C16" s="4">
        <v>20</v>
      </c>
      <c r="D16" s="4"/>
    </row>
    <row r="17" spans="1:4">
      <c r="A17" t="s">
        <v>111</v>
      </c>
      <c r="B17" s="156">
        <v>34</v>
      </c>
      <c r="C17" s="4">
        <v>20</v>
      </c>
      <c r="D17" s="4"/>
    </row>
    <row r="18" spans="1:4">
      <c r="A18" t="s">
        <v>112</v>
      </c>
      <c r="B18" s="156">
        <v>28</v>
      </c>
      <c r="C18" s="4">
        <v>20</v>
      </c>
      <c r="D18" s="4"/>
    </row>
    <row r="19" spans="1:4">
      <c r="A19" t="s">
        <v>113</v>
      </c>
      <c r="B19" s="78">
        <v>28</v>
      </c>
      <c r="C19" s="4">
        <v>20</v>
      </c>
      <c r="D19" s="4"/>
    </row>
    <row r="20" spans="1:4">
      <c r="A20" t="s">
        <v>114</v>
      </c>
      <c r="B20" s="78">
        <v>27</v>
      </c>
      <c r="C20" s="4">
        <v>20</v>
      </c>
      <c r="D20" s="4"/>
    </row>
    <row r="21" spans="1:4">
      <c r="D21" s="4"/>
    </row>
    <row r="22" spans="1:4">
      <c r="A22" s="84" t="s">
        <v>115</v>
      </c>
      <c r="B22" s="86" t="s">
        <v>108</v>
      </c>
      <c r="C22" s="86" t="s">
        <v>109</v>
      </c>
      <c r="D22" s="4"/>
    </row>
    <row r="23" spans="1:4">
      <c r="A23" t="s">
        <v>116</v>
      </c>
      <c r="B23" s="78">
        <v>25</v>
      </c>
      <c r="C23" s="4">
        <v>12.5</v>
      </c>
      <c r="D23" s="4"/>
    </row>
    <row r="24" spans="1:4">
      <c r="A24" t="s">
        <v>117</v>
      </c>
      <c r="B24" s="78">
        <v>25</v>
      </c>
      <c r="C24" s="4">
        <v>10</v>
      </c>
      <c r="D24" s="4"/>
    </row>
    <row r="25" spans="1:4" ht="15">
      <c r="A25" s="213" t="s">
        <v>118</v>
      </c>
      <c r="B25" s="78">
        <v>24.5</v>
      </c>
      <c r="C25" s="4">
        <v>10</v>
      </c>
      <c r="D25" s="4"/>
    </row>
    <row r="26" spans="1:4" ht="15">
      <c r="A26" s="213" t="s">
        <v>119</v>
      </c>
      <c r="B26" s="78">
        <v>21</v>
      </c>
      <c r="C26" s="4">
        <v>8.75</v>
      </c>
      <c r="D26" s="4"/>
    </row>
    <row r="27" spans="1:4" ht="15">
      <c r="A27" s="213" t="s">
        <v>120</v>
      </c>
      <c r="B27" s="78">
        <v>21</v>
      </c>
      <c r="C27" s="4">
        <v>7.25</v>
      </c>
      <c r="D27" s="4"/>
    </row>
    <row r="28" spans="1:4" ht="15">
      <c r="A28" s="213" t="s">
        <v>121</v>
      </c>
      <c r="B28" s="78">
        <v>21.5</v>
      </c>
      <c r="C28" s="4">
        <v>8</v>
      </c>
    </row>
    <row r="29" spans="1:4" ht="15">
      <c r="A29" s="213" t="s">
        <v>122</v>
      </c>
      <c r="B29" s="78">
        <v>21</v>
      </c>
      <c r="C29" s="4">
        <v>8</v>
      </c>
    </row>
    <row r="30" spans="1:4" ht="15">
      <c r="A30" s="213" t="s">
        <v>123</v>
      </c>
      <c r="B30" s="78">
        <v>19.5</v>
      </c>
      <c r="C30" s="4">
        <v>8</v>
      </c>
    </row>
    <row r="31" spans="1:4" ht="15">
      <c r="A31" s="213" t="s">
        <v>124</v>
      </c>
      <c r="B31" s="78">
        <v>20</v>
      </c>
      <c r="C31" s="4">
        <v>8</v>
      </c>
    </row>
    <row r="32" spans="1:4" ht="15">
      <c r="A32" s="213" t="s">
        <v>125</v>
      </c>
      <c r="B32" s="78">
        <v>18</v>
      </c>
      <c r="C32" s="4">
        <v>7.25</v>
      </c>
    </row>
    <row r="33" spans="1:3" ht="15">
      <c r="A33" s="213" t="s">
        <v>126</v>
      </c>
      <c r="B33" s="78">
        <v>21.5</v>
      </c>
      <c r="C33" s="4">
        <v>10.75</v>
      </c>
    </row>
    <row r="34" spans="1:3" ht="15">
      <c r="A34" s="213" t="s">
        <v>127</v>
      </c>
      <c r="B34" s="78">
        <v>19</v>
      </c>
      <c r="C34" s="4">
        <v>7.25</v>
      </c>
    </row>
    <row r="35" spans="1:3" ht="15">
      <c r="A35" s="213"/>
      <c r="B35" s="78"/>
      <c r="C35" s="4"/>
    </row>
    <row r="36" spans="1:3" ht="15">
      <c r="A36" s="213"/>
      <c r="B36" s="78"/>
      <c r="C36" s="4"/>
    </row>
    <row r="37" spans="1:3">
      <c r="A37" s="84"/>
      <c r="B37" s="86"/>
      <c r="C37" s="86"/>
    </row>
    <row r="38" spans="1:3" ht="15">
      <c r="A38" s="213"/>
      <c r="B38" s="78"/>
      <c r="C38" s="4"/>
    </row>
    <row r="39" spans="1:3" ht="15">
      <c r="A39" s="213"/>
      <c r="B39" s="78"/>
      <c r="C39" s="4"/>
    </row>
    <row r="40" spans="1:3" ht="15">
      <c r="A40" s="213"/>
      <c r="B40" s="78"/>
      <c r="C40" s="4"/>
    </row>
    <row r="41" spans="1:3" ht="15">
      <c r="A41" s="213"/>
      <c r="B41" s="78"/>
      <c r="C41" s="4"/>
    </row>
    <row r="42" spans="1:3" ht="15">
      <c r="A42" s="213"/>
      <c r="B42" s="78"/>
      <c r="C42" s="4"/>
    </row>
    <row r="43" spans="1:3" ht="15">
      <c r="A43" s="213"/>
      <c r="B43" s="78"/>
      <c r="C43" s="4"/>
    </row>
  </sheetData>
  <mergeCells count="1">
    <mergeCell ref="E1:K1"/>
  </mergeCells>
  <phoneticPr fontId="5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2A1CB-E962-4233-9048-F18B94BA63CA}">
  <dimension ref="A1:H55"/>
  <sheetViews>
    <sheetView view="pageLayout" topLeftCell="A18" zoomScaleNormal="100" workbookViewId="0">
      <selection activeCell="B1" sqref="B1:C1"/>
    </sheetView>
  </sheetViews>
  <sheetFormatPr defaultRowHeight="12.75"/>
  <cols>
    <col min="1" max="1" width="17" customWidth="1"/>
    <col min="2" max="2" width="13.140625" bestFit="1" customWidth="1"/>
    <col min="3" max="3" width="11.5703125" customWidth="1"/>
    <col min="4" max="4" width="9.7109375" bestFit="1" customWidth="1"/>
    <col min="6" max="6" width="10.85546875" customWidth="1"/>
  </cols>
  <sheetData>
    <row r="1" spans="1:8">
      <c r="A1" s="178" t="s">
        <v>128</v>
      </c>
      <c r="B1" s="224">
        <f>Estimate!C2</f>
        <v>0</v>
      </c>
      <c r="C1" s="225"/>
      <c r="D1" s="224">
        <f>Estimate!C3</f>
        <v>0</v>
      </c>
      <c r="E1" s="225"/>
      <c r="F1" s="225"/>
      <c r="G1" s="225"/>
      <c r="H1" s="226"/>
    </row>
    <row r="2" spans="1:8">
      <c r="A2" s="178" t="s">
        <v>129</v>
      </c>
      <c r="B2" s="253">
        <f>Estimate!C4</f>
        <v>0</v>
      </c>
      <c r="C2" s="253"/>
      <c r="D2" s="253"/>
      <c r="E2" s="253"/>
      <c r="F2" s="253"/>
      <c r="G2" s="253"/>
      <c r="H2" s="253"/>
    </row>
    <row r="3" spans="1:8">
      <c r="A3" s="178" t="s">
        <v>130</v>
      </c>
      <c r="B3" s="223">
        <f>Estimate!C5</f>
        <v>0</v>
      </c>
      <c r="C3" s="223"/>
      <c r="D3" s="223"/>
      <c r="E3" s="223"/>
      <c r="F3" s="178" t="s">
        <v>11</v>
      </c>
      <c r="G3" s="223">
        <f>Estimate!G9</f>
        <v>0</v>
      </c>
      <c r="H3" s="223"/>
    </row>
    <row r="4" spans="1:8">
      <c r="A4" s="178" t="s">
        <v>131</v>
      </c>
      <c r="B4" s="223">
        <f>Estimate!C6</f>
        <v>0</v>
      </c>
      <c r="C4" s="223"/>
      <c r="D4" s="223"/>
      <c r="E4" s="223"/>
      <c r="F4" s="178"/>
      <c r="G4" s="223"/>
      <c r="H4" s="223"/>
    </row>
    <row r="5" spans="1:8">
      <c r="A5" s="178" t="s">
        <v>132</v>
      </c>
      <c r="B5" s="227">
        <f>Estimate!C9</f>
        <v>0</v>
      </c>
      <c r="C5" s="223"/>
      <c r="D5" s="223"/>
      <c r="E5" s="223"/>
      <c r="F5" s="178"/>
      <c r="G5" s="223"/>
      <c r="H5" s="223"/>
    </row>
    <row r="6" spans="1:8">
      <c r="A6" s="178" t="s">
        <v>133</v>
      </c>
      <c r="B6" s="228">
        <f>Estimate!C8</f>
        <v>0</v>
      </c>
      <c r="C6" s="223"/>
      <c r="D6" s="223"/>
      <c r="E6" s="223"/>
      <c r="F6" s="178"/>
      <c r="G6" s="223"/>
      <c r="H6" s="223"/>
    </row>
    <row r="7" spans="1:8">
      <c r="A7" s="178" t="s">
        <v>134</v>
      </c>
      <c r="B7" s="223"/>
      <c r="C7" s="223"/>
      <c r="D7" s="223"/>
      <c r="E7" s="223"/>
      <c r="F7" s="178"/>
      <c r="G7" s="223"/>
      <c r="H7" s="223"/>
    </row>
    <row r="8" spans="1:8">
      <c r="A8" s="178" t="s">
        <v>135</v>
      </c>
      <c r="B8" s="229">
        <f>Estimate!D103</f>
        <v>0</v>
      </c>
      <c r="C8" s="229"/>
      <c r="D8" s="229"/>
      <c r="E8" s="229"/>
      <c r="F8" s="178"/>
      <c r="G8" s="223"/>
      <c r="H8" s="223"/>
    </row>
    <row r="9" spans="1:8">
      <c r="A9" s="178" t="s">
        <v>136</v>
      </c>
      <c r="B9" s="223">
        <f>Estimate!D78+Estimate!D80+Estimate!D82+Estimate!D84+Estimate!D86+Estimate!D88+Estimate!D90+Estimate!D92</f>
        <v>0</v>
      </c>
      <c r="C9" s="223"/>
      <c r="D9" s="223"/>
      <c r="E9" s="223"/>
      <c r="F9" s="178"/>
      <c r="G9" s="223"/>
      <c r="H9" s="223"/>
    </row>
    <row r="10" spans="1:8">
      <c r="A10" s="178" t="s">
        <v>137</v>
      </c>
      <c r="B10" s="230">
        <f>Estimate!E97</f>
        <v>3</v>
      </c>
      <c r="C10" s="223"/>
      <c r="D10" s="223"/>
      <c r="E10" s="223"/>
      <c r="F10" s="178" t="s">
        <v>138</v>
      </c>
      <c r="G10" s="231">
        <f>Estimate!C12</f>
        <v>0</v>
      </c>
      <c r="H10" s="223"/>
    </row>
    <row r="11" spans="1:8">
      <c r="A11" s="235"/>
      <c r="B11" s="235"/>
      <c r="C11" s="235"/>
      <c r="D11" s="235"/>
      <c r="E11" s="235"/>
      <c r="F11" s="235"/>
      <c r="G11" s="235"/>
      <c r="H11" s="235"/>
    </row>
    <row r="12" spans="1:8">
      <c r="A12" s="236" t="s">
        <v>139</v>
      </c>
      <c r="B12" s="237"/>
      <c r="C12" s="237"/>
      <c r="D12" s="237"/>
      <c r="E12" s="237"/>
      <c r="F12" s="237"/>
      <c r="G12" s="237"/>
      <c r="H12" s="238"/>
    </row>
    <row r="13" spans="1:8">
      <c r="A13" s="239"/>
      <c r="B13" s="240"/>
      <c r="C13" s="240"/>
      <c r="D13" s="240"/>
      <c r="E13" s="240"/>
      <c r="F13" s="240"/>
      <c r="G13" s="240"/>
      <c r="H13" s="241"/>
    </row>
    <row r="14" spans="1:8">
      <c r="A14" s="242"/>
      <c r="B14" s="240"/>
      <c r="C14" s="240"/>
      <c r="D14" s="240"/>
      <c r="E14" s="240"/>
      <c r="F14" s="240"/>
      <c r="G14" s="240"/>
      <c r="H14" s="241"/>
    </row>
    <row r="15" spans="1:8">
      <c r="A15" s="242"/>
      <c r="B15" s="240"/>
      <c r="C15" s="240"/>
      <c r="D15" s="240"/>
      <c r="E15" s="240"/>
      <c r="F15" s="240"/>
      <c r="G15" s="240"/>
      <c r="H15" s="241"/>
    </row>
    <row r="16" spans="1:8">
      <c r="A16" s="242"/>
      <c r="B16" s="240"/>
      <c r="C16" s="240"/>
      <c r="D16" s="240"/>
      <c r="E16" s="240"/>
      <c r="F16" s="240"/>
      <c r="G16" s="240"/>
      <c r="H16" s="241"/>
    </row>
    <row r="17" spans="1:8">
      <c r="A17" s="242"/>
      <c r="B17" s="240"/>
      <c r="C17" s="240"/>
      <c r="D17" s="240"/>
      <c r="E17" s="240"/>
      <c r="F17" s="240"/>
      <c r="G17" s="240"/>
      <c r="H17" s="241"/>
    </row>
    <row r="18" spans="1:8">
      <c r="A18" s="242"/>
      <c r="B18" s="240"/>
      <c r="C18" s="240"/>
      <c r="D18" s="240"/>
      <c r="E18" s="240"/>
      <c r="F18" s="240"/>
      <c r="G18" s="240"/>
      <c r="H18" s="241"/>
    </row>
    <row r="19" spans="1:8">
      <c r="A19" s="242"/>
      <c r="B19" s="240"/>
      <c r="C19" s="240"/>
      <c r="D19" s="240"/>
      <c r="E19" s="240"/>
      <c r="F19" s="240"/>
      <c r="G19" s="240"/>
      <c r="H19" s="241"/>
    </row>
    <row r="20" spans="1:8">
      <c r="A20" s="242"/>
      <c r="B20" s="240"/>
      <c r="C20" s="240"/>
      <c r="D20" s="240"/>
      <c r="E20" s="240"/>
      <c r="F20" s="240"/>
      <c r="G20" s="240"/>
      <c r="H20" s="241"/>
    </row>
    <row r="21" spans="1:8">
      <c r="A21" s="242"/>
      <c r="B21" s="240"/>
      <c r="C21" s="240"/>
      <c r="D21" s="240"/>
      <c r="E21" s="240"/>
      <c r="F21" s="240"/>
      <c r="G21" s="240"/>
      <c r="H21" s="241"/>
    </row>
    <row r="22" spans="1:8">
      <c r="A22" s="242"/>
      <c r="B22" s="240"/>
      <c r="C22" s="240"/>
      <c r="D22" s="240"/>
      <c r="E22" s="240"/>
      <c r="F22" s="240"/>
      <c r="G22" s="240"/>
      <c r="H22" s="241"/>
    </row>
    <row r="23" spans="1:8">
      <c r="A23" s="242"/>
      <c r="B23" s="240"/>
      <c r="C23" s="240"/>
      <c r="D23" s="240"/>
      <c r="E23" s="240"/>
      <c r="F23" s="240"/>
      <c r="G23" s="240"/>
      <c r="H23" s="241"/>
    </row>
    <row r="24" spans="1:8">
      <c r="A24" s="242"/>
      <c r="B24" s="240"/>
      <c r="C24" s="240"/>
      <c r="D24" s="240"/>
      <c r="E24" s="240"/>
      <c r="F24" s="240"/>
      <c r="G24" s="240"/>
      <c r="H24" s="241"/>
    </row>
    <row r="25" spans="1:8">
      <c r="A25" s="242"/>
      <c r="B25" s="240"/>
      <c r="C25" s="240"/>
      <c r="D25" s="240"/>
      <c r="E25" s="240"/>
      <c r="F25" s="240"/>
      <c r="G25" s="240"/>
      <c r="H25" s="241"/>
    </row>
    <row r="26" spans="1:8">
      <c r="A26" s="242"/>
      <c r="B26" s="240"/>
      <c r="C26" s="240"/>
      <c r="D26" s="240"/>
      <c r="E26" s="240"/>
      <c r="F26" s="240"/>
      <c r="G26" s="240"/>
      <c r="H26" s="241"/>
    </row>
    <row r="27" spans="1:8">
      <c r="A27" s="242"/>
      <c r="B27" s="240"/>
      <c r="C27" s="240"/>
      <c r="D27" s="240"/>
      <c r="E27" s="240"/>
      <c r="F27" s="240"/>
      <c r="G27" s="240"/>
      <c r="H27" s="241"/>
    </row>
    <row r="28" spans="1:8">
      <c r="A28" s="242"/>
      <c r="B28" s="240"/>
      <c r="C28" s="240"/>
      <c r="D28" s="240"/>
      <c r="E28" s="240"/>
      <c r="F28" s="240"/>
      <c r="G28" s="240"/>
      <c r="H28" s="241"/>
    </row>
    <row r="29" spans="1:8">
      <c r="A29" s="242"/>
      <c r="B29" s="240"/>
      <c r="C29" s="240"/>
      <c r="D29" s="240"/>
      <c r="E29" s="240"/>
      <c r="F29" s="240"/>
      <c r="G29" s="240"/>
      <c r="H29" s="241"/>
    </row>
    <row r="30" spans="1:8">
      <c r="A30" s="242"/>
      <c r="B30" s="240"/>
      <c r="C30" s="240"/>
      <c r="D30" s="240"/>
      <c r="E30" s="240"/>
      <c r="F30" s="240"/>
      <c r="G30" s="240"/>
      <c r="H30" s="241"/>
    </row>
    <row r="31" spans="1:8">
      <c r="A31" s="242"/>
      <c r="B31" s="240"/>
      <c r="C31" s="240"/>
      <c r="D31" s="240"/>
      <c r="E31" s="240"/>
      <c r="F31" s="240"/>
      <c r="G31" s="240"/>
      <c r="H31" s="241"/>
    </row>
    <row r="32" spans="1:8">
      <c r="A32" s="242"/>
      <c r="B32" s="240"/>
      <c r="C32" s="240"/>
      <c r="D32" s="240"/>
      <c r="E32" s="240"/>
      <c r="F32" s="240"/>
      <c r="G32" s="240"/>
      <c r="H32" s="241"/>
    </row>
    <row r="33" spans="1:8">
      <c r="A33" s="242"/>
      <c r="B33" s="240"/>
      <c r="C33" s="240"/>
      <c r="D33" s="240"/>
      <c r="E33" s="240"/>
      <c r="F33" s="240"/>
      <c r="G33" s="240"/>
      <c r="H33" s="241"/>
    </row>
    <row r="34" spans="1:8">
      <c r="A34" s="242"/>
      <c r="B34" s="240"/>
      <c r="C34" s="240"/>
      <c r="D34" s="240"/>
      <c r="E34" s="240"/>
      <c r="F34" s="240"/>
      <c r="G34" s="240"/>
      <c r="H34" s="241"/>
    </row>
    <row r="35" spans="1:8">
      <c r="A35" s="242"/>
      <c r="B35" s="240"/>
      <c r="C35" s="240"/>
      <c r="D35" s="240"/>
      <c r="E35" s="240"/>
      <c r="F35" s="240"/>
      <c r="G35" s="240"/>
      <c r="H35" s="241"/>
    </row>
    <row r="36" spans="1:8">
      <c r="A36" s="243"/>
      <c r="B36" s="244"/>
      <c r="C36" s="244"/>
      <c r="D36" s="244"/>
      <c r="E36" s="244"/>
      <c r="F36" s="244"/>
      <c r="G36" s="244"/>
      <c r="H36" s="245"/>
    </row>
    <row r="37" spans="1:8">
      <c r="A37" s="246"/>
      <c r="B37" s="246"/>
      <c r="C37" s="246"/>
      <c r="D37" s="246"/>
      <c r="E37" s="246"/>
      <c r="F37" s="246"/>
      <c r="G37" s="246"/>
      <c r="H37" s="246"/>
    </row>
    <row r="38" spans="1:8">
      <c r="A38" s="178" t="s">
        <v>140</v>
      </c>
      <c r="B38" s="178" t="s">
        <v>141</v>
      </c>
      <c r="C38" s="178"/>
      <c r="D38" s="178" t="s">
        <v>142</v>
      </c>
      <c r="E38" s="178" t="s">
        <v>143</v>
      </c>
      <c r="F38" s="178" t="s">
        <v>25</v>
      </c>
      <c r="G38" s="178" t="s">
        <v>144</v>
      </c>
      <c r="H38" s="178"/>
    </row>
    <row r="39" spans="1:8">
      <c r="A39" s="178" t="s">
        <v>145</v>
      </c>
      <c r="B39" s="224" t="str">
        <f>Estimate!B19</f>
        <v>Gaco 2.0 lb.</v>
      </c>
      <c r="C39" s="226"/>
      <c r="D39" s="179">
        <f>Estimate!G19</f>
        <v>0</v>
      </c>
      <c r="E39" s="179">
        <f>Estimate!C19</f>
        <v>0</v>
      </c>
      <c r="F39" s="181">
        <f>Estimate!D19</f>
        <v>2</v>
      </c>
      <c r="G39" s="2">
        <f>Estimate!F19</f>
        <v>3500</v>
      </c>
      <c r="H39" s="2"/>
    </row>
    <row r="40" spans="1:8">
      <c r="A40" s="180" t="s">
        <v>146</v>
      </c>
      <c r="B40" s="224" t="str">
        <f>Estimate!B20</f>
        <v>Gaco 2.0 lb.</v>
      </c>
      <c r="C40" s="226"/>
      <c r="D40" s="179">
        <f>Estimate!G20</f>
        <v>0</v>
      </c>
      <c r="E40" s="179">
        <f>Estimate!C20</f>
        <v>0</v>
      </c>
      <c r="F40" s="181">
        <f>Estimate!D20</f>
        <v>2</v>
      </c>
      <c r="G40" s="181">
        <f>Estimate!F20</f>
        <v>3500</v>
      </c>
      <c r="H40" s="2"/>
    </row>
    <row r="41" spans="1:8">
      <c r="A41" s="180" t="s">
        <v>147</v>
      </c>
      <c r="B41" s="224" t="str">
        <f>Estimate!B21</f>
        <v>Gaco 2.0 lb.</v>
      </c>
      <c r="C41" s="226"/>
      <c r="D41" s="179">
        <f>Estimate!G21</f>
        <v>0</v>
      </c>
      <c r="E41" s="179">
        <f>Estimate!C21</f>
        <v>0</v>
      </c>
      <c r="F41" s="181">
        <f>Estimate!D21</f>
        <v>2</v>
      </c>
      <c r="G41" s="181">
        <f>Estimate!F21</f>
        <v>3500</v>
      </c>
      <c r="H41" s="2"/>
    </row>
    <row r="42" spans="1:8">
      <c r="A42" s="178" t="s">
        <v>29</v>
      </c>
      <c r="B42" s="224" t="str">
        <f>Estimate!B30</f>
        <v>DC 315 TB</v>
      </c>
      <c r="C42" s="226"/>
      <c r="D42" s="179">
        <f>Estimate!G30</f>
        <v>0</v>
      </c>
      <c r="E42" s="179">
        <f>Estimate!C30</f>
        <v>0</v>
      </c>
      <c r="F42" s="2"/>
      <c r="G42" s="181">
        <f>Estimate!D30</f>
        <v>1.5</v>
      </c>
      <c r="H42" s="2"/>
    </row>
    <row r="43" spans="1:8">
      <c r="A43" s="85"/>
    </row>
    <row r="44" spans="1:8">
      <c r="A44" s="178" t="s">
        <v>148</v>
      </c>
      <c r="B44" s="247" t="s">
        <v>141</v>
      </c>
      <c r="C44" s="248"/>
      <c r="D44" s="247" t="s">
        <v>149</v>
      </c>
      <c r="E44" s="249"/>
      <c r="F44" s="249"/>
      <c r="G44" s="249"/>
      <c r="H44" s="248"/>
    </row>
    <row r="45" spans="1:8">
      <c r="A45" s="178" t="s">
        <v>150</v>
      </c>
      <c r="B45" s="224"/>
      <c r="C45" s="226"/>
      <c r="D45" s="232"/>
      <c r="E45" s="225"/>
      <c r="F45" s="225"/>
      <c r="G45" s="225"/>
      <c r="H45" s="226"/>
    </row>
    <row r="46" spans="1:8">
      <c r="A46" s="178" t="s">
        <v>151</v>
      </c>
      <c r="B46" s="232"/>
      <c r="C46" s="233"/>
      <c r="D46" s="232">
        <f>(Estimate!C12)/2000</f>
        <v>0</v>
      </c>
      <c r="E46" s="234"/>
      <c r="F46" s="234"/>
      <c r="G46" s="234"/>
      <c r="H46" s="233"/>
    </row>
    <row r="47" spans="1:8">
      <c r="A47" s="178" t="s">
        <v>152</v>
      </c>
      <c r="B47" s="224"/>
      <c r="C47" s="226"/>
      <c r="D47" s="250"/>
      <c r="E47" s="251"/>
      <c r="F47" s="251"/>
      <c r="G47" s="251"/>
      <c r="H47" s="252"/>
    </row>
    <row r="48" spans="1:8">
      <c r="A48" s="178" t="s">
        <v>153</v>
      </c>
      <c r="B48" s="224"/>
      <c r="C48" s="226"/>
      <c r="D48" s="250"/>
      <c r="E48" s="251"/>
      <c r="F48" s="251"/>
      <c r="G48" s="251"/>
      <c r="H48" s="252"/>
    </row>
    <row r="49" spans="1:8">
      <c r="A49" s="178" t="s">
        <v>154</v>
      </c>
      <c r="B49" s="224"/>
      <c r="C49" s="226"/>
      <c r="D49" s="232"/>
      <c r="E49" s="225"/>
      <c r="F49" s="225"/>
      <c r="G49" s="225"/>
      <c r="H49" s="226"/>
    </row>
    <row r="51" spans="1:8">
      <c r="A51" s="182" t="s">
        <v>155</v>
      </c>
      <c r="B51" s="183" t="str">
        <f>Estimate!A126</f>
        <v>Additional Amount w/o Markup</v>
      </c>
      <c r="C51" s="183"/>
      <c r="D51" s="183"/>
      <c r="E51" s="183"/>
      <c r="F51" s="183"/>
      <c r="G51" s="183"/>
      <c r="H51" s="184"/>
    </row>
    <row r="52" spans="1:8">
      <c r="A52" s="185"/>
      <c r="B52" t="str">
        <f>Estimate!A127</f>
        <v>Additional Amount w/o Markup</v>
      </c>
      <c r="H52" s="186"/>
    </row>
    <row r="53" spans="1:8">
      <c r="A53" s="185"/>
      <c r="B53" t="str">
        <f>Estimate!A128</f>
        <v>Additional Amount w/o Markup</v>
      </c>
      <c r="H53" s="186"/>
    </row>
    <row r="54" spans="1:8">
      <c r="A54" s="185"/>
      <c r="B54" t="str">
        <f>Estimate!A129</f>
        <v>Additional Amount w/o Markup</v>
      </c>
      <c r="H54" s="186"/>
    </row>
    <row r="55" spans="1:8">
      <c r="A55" s="187"/>
      <c r="B55" s="188"/>
      <c r="C55" s="188"/>
      <c r="D55" s="188"/>
      <c r="E55" s="188"/>
      <c r="F55" s="188"/>
      <c r="G55" s="188"/>
      <c r="H55" s="189"/>
    </row>
  </sheetData>
  <mergeCells count="39">
    <mergeCell ref="B47:C47"/>
    <mergeCell ref="D47:H47"/>
    <mergeCell ref="B48:C48"/>
    <mergeCell ref="D48:H48"/>
    <mergeCell ref="B49:C49"/>
    <mergeCell ref="D49:H49"/>
    <mergeCell ref="B46:C46"/>
    <mergeCell ref="D46:H46"/>
    <mergeCell ref="A11:H11"/>
    <mergeCell ref="A12:H12"/>
    <mergeCell ref="A13:H36"/>
    <mergeCell ref="A37:H37"/>
    <mergeCell ref="B39:C39"/>
    <mergeCell ref="B40:C40"/>
    <mergeCell ref="B42:C42"/>
    <mergeCell ref="B44:C44"/>
    <mergeCell ref="D44:H44"/>
    <mergeCell ref="B45:C45"/>
    <mergeCell ref="D45:H45"/>
    <mergeCell ref="B41:C41"/>
    <mergeCell ref="B8:E8"/>
    <mergeCell ref="G8:H8"/>
    <mergeCell ref="B9:E9"/>
    <mergeCell ref="G9:H9"/>
    <mergeCell ref="B10:E10"/>
    <mergeCell ref="G10:H10"/>
    <mergeCell ref="B5:E5"/>
    <mergeCell ref="G5:H5"/>
    <mergeCell ref="B6:E6"/>
    <mergeCell ref="G6:H6"/>
    <mergeCell ref="B7:E7"/>
    <mergeCell ref="G7:H7"/>
    <mergeCell ref="B4:E4"/>
    <mergeCell ref="G4:H4"/>
    <mergeCell ref="B1:C1"/>
    <mergeCell ref="D1:H1"/>
    <mergeCell ref="B2:H2"/>
    <mergeCell ref="B3:E3"/>
    <mergeCell ref="G3:H3"/>
  </mergeCells>
  <pageMargins left="0.7" right="0.7" top="0.75" bottom="0.75" header="0.3" footer="0.3"/>
  <pageSetup orientation="portrait" r:id="rId1"/>
  <headerFooter alignWithMargins="0">
    <oddHeader>&amp;C&amp;"Arial,Bold"&amp;18Job Specification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86A79-8B4C-41C6-AE89-CF763DCFA871}">
  <dimension ref="A1:S34"/>
  <sheetViews>
    <sheetView tabSelected="1" workbookViewId="0">
      <selection activeCell="H26" sqref="A26:R26"/>
    </sheetView>
  </sheetViews>
  <sheetFormatPr defaultColWidth="9.140625" defaultRowHeight="15"/>
  <cols>
    <col min="1" max="1" width="11.140625" style="193" bestFit="1" customWidth="1"/>
    <col min="2" max="2" width="11.7109375" style="193" bestFit="1" customWidth="1"/>
    <col min="3" max="3" width="12.42578125" style="193" bestFit="1" customWidth="1"/>
    <col min="4" max="4" width="12.42578125" style="193" customWidth="1"/>
    <col min="5" max="5" width="11" style="193" bestFit="1" customWidth="1"/>
    <col min="6" max="6" width="8.42578125" style="193" bestFit="1" customWidth="1"/>
    <col min="7" max="7" width="11.42578125" style="193" bestFit="1" customWidth="1"/>
    <col min="8" max="8" width="13.42578125" style="193" bestFit="1" customWidth="1"/>
    <col min="9" max="9" width="13.85546875" style="193" bestFit="1" customWidth="1"/>
    <col min="10" max="10" width="13.7109375" style="193" bestFit="1" customWidth="1"/>
    <col min="11" max="11" width="12.42578125" style="193" bestFit="1" customWidth="1"/>
    <col min="12" max="13" width="11.7109375" style="193" bestFit="1" customWidth="1"/>
    <col min="14" max="14" width="10" style="193" bestFit="1" customWidth="1"/>
    <col min="15" max="15" width="13" style="193" bestFit="1" customWidth="1"/>
    <col min="16" max="16" width="14.28515625" style="193" bestFit="1" customWidth="1"/>
    <col min="17" max="17" width="7" style="193" customWidth="1"/>
    <col min="18" max="18" width="6.42578125" style="193" bestFit="1" customWidth="1"/>
    <col min="19" max="16384" width="9.140625" style="193"/>
  </cols>
  <sheetData>
    <row r="1" spans="1:19">
      <c r="A1" s="216" t="s">
        <v>156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</row>
    <row r="2" spans="1:19" s="195" customFormat="1">
      <c r="A2" s="194">
        <f>'Job Spec'!B1</f>
        <v>0</v>
      </c>
      <c r="B2" s="194" t="s">
        <v>157</v>
      </c>
      <c r="C2" s="194" t="s">
        <v>158</v>
      </c>
      <c r="D2" s="194" t="s">
        <v>159</v>
      </c>
      <c r="E2" s="194" t="s">
        <v>160</v>
      </c>
      <c r="F2" s="194" t="s">
        <v>161</v>
      </c>
      <c r="G2" s="194" t="s">
        <v>162</v>
      </c>
      <c r="H2" s="194" t="s">
        <v>163</v>
      </c>
      <c r="I2" s="194" t="s">
        <v>164</v>
      </c>
      <c r="J2" s="194" t="s">
        <v>165</v>
      </c>
      <c r="K2" s="194" t="s">
        <v>166</v>
      </c>
      <c r="L2" s="194" t="s">
        <v>167</v>
      </c>
      <c r="M2" s="194" t="s">
        <v>168</v>
      </c>
      <c r="N2" s="194" t="s">
        <v>29</v>
      </c>
      <c r="O2" s="194" t="s">
        <v>169</v>
      </c>
      <c r="P2" s="194" t="s">
        <v>170</v>
      </c>
      <c r="Q2" s="194" t="s">
        <v>171</v>
      </c>
      <c r="R2" s="194" t="s">
        <v>172</v>
      </c>
    </row>
    <row r="3" spans="1:19" s="197" customFormat="1">
      <c r="A3" s="196"/>
      <c r="B3" s="196"/>
      <c r="C3" s="196"/>
      <c r="D3" s="196"/>
      <c r="E3" s="196"/>
      <c r="F3" s="196"/>
      <c r="G3" s="196"/>
      <c r="H3" s="196"/>
      <c r="I3" s="196"/>
      <c r="J3" s="196"/>
      <c r="L3" s="196"/>
      <c r="M3" s="196"/>
      <c r="N3" s="196"/>
      <c r="O3" s="196"/>
      <c r="Q3" s="196"/>
      <c r="R3" s="196"/>
    </row>
    <row r="4" spans="1:19" s="195" customFormat="1">
      <c r="A4" s="198"/>
      <c r="B4" s="199"/>
      <c r="C4" s="199"/>
      <c r="D4" s="199"/>
      <c r="E4" s="199"/>
      <c r="F4" s="199"/>
      <c r="G4" s="199"/>
      <c r="H4" s="200"/>
      <c r="I4" s="200"/>
      <c r="J4" s="200"/>
      <c r="K4" s="201"/>
      <c r="L4" s="199"/>
      <c r="M4" s="199"/>
      <c r="N4" s="199"/>
      <c r="O4" s="199"/>
      <c r="P4" s="202"/>
      <c r="Q4" s="196"/>
      <c r="R4" s="203"/>
    </row>
    <row r="5" spans="1:19" s="195" customFormat="1">
      <c r="A5" s="200"/>
      <c r="B5" s="200"/>
      <c r="C5" s="200"/>
      <c r="D5" s="200"/>
      <c r="E5" s="200"/>
      <c r="F5" s="200"/>
      <c r="G5" s="200"/>
      <c r="H5" s="200"/>
      <c r="I5" s="200"/>
      <c r="J5" s="200"/>
      <c r="K5" s="201"/>
      <c r="L5" s="200"/>
      <c r="M5" s="200"/>
      <c r="N5" s="200"/>
      <c r="O5" s="200"/>
      <c r="P5" s="202"/>
      <c r="Q5" s="200"/>
      <c r="R5" s="203"/>
      <c r="S5" s="197"/>
    </row>
    <row r="6" spans="1:19">
      <c r="A6" s="200"/>
      <c r="B6" s="200"/>
      <c r="C6" s="200"/>
      <c r="D6" s="200"/>
      <c r="E6" s="200"/>
      <c r="F6" s="200"/>
      <c r="G6" s="200"/>
      <c r="H6" s="200"/>
      <c r="I6" s="200"/>
      <c r="J6" s="200"/>
      <c r="K6" s="201"/>
      <c r="L6" s="200"/>
      <c r="M6" s="200"/>
      <c r="N6" s="200"/>
      <c r="O6" s="200"/>
      <c r="P6" s="202"/>
      <c r="Q6" s="200"/>
      <c r="R6" s="203"/>
      <c r="S6" s="197"/>
    </row>
    <row r="7" spans="1:19">
      <c r="B7" s="200"/>
      <c r="C7" s="200"/>
      <c r="D7" s="200"/>
      <c r="E7" s="200"/>
      <c r="F7" s="200"/>
      <c r="G7" s="200"/>
      <c r="H7" s="200"/>
      <c r="I7" s="200"/>
      <c r="J7" s="200"/>
      <c r="K7" s="201"/>
      <c r="L7" s="200"/>
      <c r="M7" s="200"/>
      <c r="N7" s="200"/>
      <c r="O7" s="200"/>
      <c r="P7" s="202"/>
      <c r="Q7" s="200"/>
      <c r="R7" s="203"/>
      <c r="S7" s="197"/>
    </row>
    <row r="8" spans="1:19">
      <c r="A8" s="200"/>
      <c r="B8" s="200"/>
      <c r="C8" s="200"/>
      <c r="D8" s="200"/>
      <c r="E8" s="200"/>
      <c r="F8" s="200"/>
      <c r="G8" s="200"/>
      <c r="H8" s="200"/>
      <c r="I8" s="200"/>
      <c r="J8" s="200"/>
      <c r="K8" s="201"/>
      <c r="L8" s="200"/>
      <c r="M8" s="200"/>
      <c r="N8" s="200"/>
      <c r="O8" s="200"/>
      <c r="P8" s="202"/>
      <c r="Q8" s="200"/>
      <c r="R8" s="203"/>
      <c r="S8" s="197"/>
    </row>
    <row r="9" spans="1:19">
      <c r="A9" s="200"/>
      <c r="B9" s="200"/>
      <c r="C9" s="200"/>
      <c r="D9" s="200"/>
      <c r="E9" s="200"/>
      <c r="F9" s="200"/>
      <c r="G9" s="200"/>
      <c r="H9" s="200"/>
      <c r="I9" s="200"/>
      <c r="J9" s="200"/>
      <c r="K9" s="201"/>
      <c r="L9" s="200"/>
      <c r="M9" s="200"/>
      <c r="N9" s="200"/>
      <c r="O9" s="200"/>
      <c r="P9" s="202"/>
      <c r="Q9" s="200"/>
      <c r="R9" s="203"/>
      <c r="S9" s="197"/>
    </row>
    <row r="10" spans="1:19">
      <c r="A10" s="200"/>
      <c r="B10" s="200"/>
      <c r="C10" s="200"/>
      <c r="D10" s="200"/>
      <c r="E10" s="200"/>
      <c r="F10" s="200"/>
      <c r="G10" s="200"/>
      <c r="H10" s="200"/>
      <c r="I10" s="200"/>
      <c r="J10" s="200"/>
      <c r="K10" s="201"/>
      <c r="L10" s="200"/>
      <c r="M10" s="200"/>
      <c r="N10" s="200"/>
      <c r="O10" s="200"/>
      <c r="P10" s="202"/>
      <c r="Q10" s="200"/>
      <c r="R10" s="203"/>
      <c r="S10" s="197"/>
    </row>
    <row r="11" spans="1:19">
      <c r="A11" s="200"/>
      <c r="B11" s="200"/>
      <c r="C11" s="200"/>
      <c r="D11" s="200"/>
      <c r="E11" s="200"/>
      <c r="F11" s="200"/>
      <c r="G11" s="200"/>
      <c r="H11" s="200"/>
      <c r="I11" s="200"/>
      <c r="J11" s="200"/>
      <c r="K11" s="201"/>
      <c r="L11" s="200"/>
      <c r="M11" s="200"/>
      <c r="N11" s="200"/>
      <c r="O11" s="200"/>
      <c r="P11" s="202"/>
      <c r="Q11" s="200"/>
      <c r="R11" s="203"/>
      <c r="S11" s="197"/>
    </row>
    <row r="12" spans="1:19">
      <c r="A12" s="200"/>
      <c r="B12" s="200"/>
      <c r="C12" s="200"/>
      <c r="D12" s="200"/>
      <c r="E12" s="200"/>
      <c r="F12" s="200"/>
      <c r="G12" s="200"/>
      <c r="H12" s="200"/>
      <c r="I12" s="200"/>
      <c r="J12" s="200"/>
      <c r="K12" s="201"/>
      <c r="L12" s="200"/>
      <c r="M12" s="200"/>
      <c r="N12" s="200"/>
      <c r="O12" s="200"/>
      <c r="P12" s="202"/>
      <c r="Q12" s="200"/>
      <c r="R12" s="203"/>
      <c r="S12" s="197"/>
    </row>
    <row r="13" spans="1:19">
      <c r="A13" s="200"/>
      <c r="B13" s="200"/>
      <c r="C13" s="200"/>
      <c r="D13" s="200"/>
      <c r="E13" s="200"/>
      <c r="F13" s="200"/>
      <c r="G13" s="200"/>
      <c r="H13" s="200"/>
      <c r="I13" s="200"/>
      <c r="J13" s="200"/>
      <c r="K13" s="201"/>
      <c r="L13" s="200"/>
      <c r="M13" s="200"/>
      <c r="N13" s="200"/>
      <c r="O13" s="200"/>
      <c r="P13" s="202"/>
      <c r="Q13" s="200"/>
      <c r="R13" s="203"/>
      <c r="S13" s="197"/>
    </row>
    <row r="14" spans="1:19">
      <c r="A14" s="200"/>
      <c r="B14" s="200"/>
      <c r="C14" s="200"/>
      <c r="D14" s="200"/>
      <c r="E14" s="200"/>
      <c r="F14" s="200"/>
      <c r="G14" s="200"/>
      <c r="H14" s="200"/>
      <c r="I14" s="200"/>
      <c r="J14" s="200"/>
      <c r="K14" s="201"/>
      <c r="L14" s="200"/>
      <c r="M14" s="200"/>
      <c r="N14" s="200"/>
      <c r="O14" s="200"/>
      <c r="P14" s="202"/>
      <c r="Q14" s="200"/>
      <c r="R14" s="203"/>
      <c r="S14" s="197"/>
    </row>
    <row r="15" spans="1:19">
      <c r="A15" s="200"/>
      <c r="B15" s="200"/>
      <c r="C15" s="200"/>
      <c r="D15" s="200"/>
      <c r="E15" s="200"/>
      <c r="F15" s="200"/>
      <c r="G15" s="200"/>
      <c r="H15" s="200"/>
      <c r="I15" s="200"/>
      <c r="J15" s="200"/>
      <c r="K15" s="201"/>
      <c r="L15" s="200"/>
      <c r="M15" s="200"/>
      <c r="N15" s="200"/>
      <c r="O15" s="200"/>
      <c r="P15" s="202"/>
      <c r="Q15" s="200"/>
      <c r="R15" s="203"/>
      <c r="S15" s="197"/>
    </row>
    <row r="16" spans="1:19">
      <c r="A16" s="200"/>
      <c r="B16" s="200"/>
      <c r="C16" s="200"/>
      <c r="D16" s="200"/>
      <c r="E16" s="200"/>
      <c r="F16" s="200"/>
      <c r="G16" s="200"/>
      <c r="H16" s="200"/>
      <c r="I16" s="200"/>
      <c r="J16" s="200"/>
      <c r="K16" s="201" t="str">
        <f t="shared" ref="K16:K18" si="0">IF(OR(H16=0,I16=0,J16=0),"",J16/(H16/1.6)*I16*1000)</f>
        <v/>
      </c>
      <c r="L16" s="200"/>
      <c r="M16" s="200"/>
      <c r="N16" s="200"/>
      <c r="O16" s="200"/>
      <c r="P16" s="202" t="str">
        <f t="shared" ref="P16:P18" si="1">IF(OR(N16=0,O16=0),"",N16/(O16/100)/1.2)</f>
        <v/>
      </c>
      <c r="Q16" s="200"/>
      <c r="R16" s="203"/>
      <c r="S16" s="197"/>
    </row>
    <row r="17" spans="1:19">
      <c r="A17" s="200"/>
      <c r="B17" s="200"/>
      <c r="C17" s="200"/>
      <c r="D17" s="200"/>
      <c r="E17" s="200"/>
      <c r="F17" s="200"/>
      <c r="G17" s="200"/>
      <c r="H17" s="200"/>
      <c r="I17" s="200"/>
      <c r="J17" s="200"/>
      <c r="K17" s="201" t="str">
        <f t="shared" si="0"/>
        <v/>
      </c>
      <c r="L17" s="200"/>
      <c r="M17" s="200"/>
      <c r="N17" s="200"/>
      <c r="O17" s="200"/>
      <c r="P17" s="202" t="str">
        <f t="shared" si="1"/>
        <v/>
      </c>
      <c r="Q17" s="200"/>
      <c r="R17" s="203"/>
      <c r="S17" s="197"/>
    </row>
    <row r="18" spans="1:19">
      <c r="A18" s="200"/>
      <c r="B18" s="200"/>
      <c r="C18" s="200"/>
      <c r="D18" s="200"/>
      <c r="E18" s="200"/>
      <c r="F18" s="200"/>
      <c r="G18" s="200"/>
      <c r="H18" s="200"/>
      <c r="I18" s="200"/>
      <c r="J18" s="200"/>
      <c r="K18" s="201" t="str">
        <f t="shared" si="0"/>
        <v/>
      </c>
      <c r="L18" s="200"/>
      <c r="M18" s="200"/>
      <c r="N18" s="200"/>
      <c r="O18" s="200"/>
      <c r="P18" s="202" t="str">
        <f t="shared" si="1"/>
        <v/>
      </c>
      <c r="Q18" s="200"/>
      <c r="R18" s="203"/>
      <c r="S18" s="197"/>
    </row>
    <row r="19" spans="1:19">
      <c r="A19" s="217" t="s">
        <v>173</v>
      </c>
      <c r="B19" s="217"/>
      <c r="C19" s="217"/>
      <c r="D19" s="217"/>
      <c r="E19" s="217"/>
      <c r="F19" s="217"/>
      <c r="G19" s="217"/>
      <c r="H19" s="217"/>
      <c r="I19" s="217"/>
      <c r="J19" s="217"/>
      <c r="K19" s="217"/>
      <c r="L19" s="217"/>
      <c r="M19" s="217"/>
      <c r="N19" s="217"/>
      <c r="O19" s="217"/>
      <c r="P19" s="217"/>
      <c r="Q19" s="217"/>
      <c r="R19" s="217"/>
      <c r="S19" s="197"/>
    </row>
    <row r="20" spans="1:19">
      <c r="A20" s="200"/>
      <c r="B20" s="200"/>
      <c r="C20" s="200"/>
      <c r="D20" s="200"/>
      <c r="E20" s="200">
        <f>SUM(E3:E19)</f>
        <v>0</v>
      </c>
      <c r="F20" s="200"/>
      <c r="G20" s="200"/>
      <c r="H20" s="200">
        <f>SUM(H3:H19)</f>
        <v>0</v>
      </c>
      <c r="I20" s="200"/>
      <c r="J20" s="200"/>
      <c r="K20" s="200"/>
      <c r="L20" s="200"/>
      <c r="M20" s="200"/>
      <c r="N20" s="200"/>
      <c r="O20" s="200"/>
      <c r="P20" s="200"/>
      <c r="Q20" s="200"/>
      <c r="R20" s="200"/>
    </row>
    <row r="21" spans="1:19">
      <c r="A21" s="200" t="s">
        <v>174</v>
      </c>
      <c r="B21" s="200">
        <f>SUM(B3:B19)</f>
        <v>0</v>
      </c>
      <c r="C21" s="200">
        <f t="shared" ref="C21:D21" si="2">SUM(C3:C19)</f>
        <v>0</v>
      </c>
      <c r="D21" s="200">
        <f t="shared" si="2"/>
        <v>0</v>
      </c>
      <c r="E21" s="204">
        <f>E20*25</f>
        <v>0</v>
      </c>
      <c r="F21" s="200">
        <f>SUM(F3:F19)</f>
        <v>0</v>
      </c>
      <c r="G21" s="200">
        <f>SUM(G3:G19)</f>
        <v>0</v>
      </c>
      <c r="H21" s="200">
        <f>H20/1.6</f>
        <v>0</v>
      </c>
      <c r="I21" s="200" t="e">
        <f>AVERAGE(I3:I19)</f>
        <v>#DIV/0!</v>
      </c>
      <c r="J21" s="200">
        <f>SUM(J3:J19)</f>
        <v>0</v>
      </c>
      <c r="K21" s="205" t="e">
        <f>AVERAGE(K3:K19)</f>
        <v>#DIV/0!</v>
      </c>
      <c r="L21" s="200"/>
      <c r="M21" s="200"/>
      <c r="N21" s="200">
        <f>SUM(N3:N19)</f>
        <v>0</v>
      </c>
      <c r="O21" s="200">
        <f>SUM(O3:O19)</f>
        <v>0</v>
      </c>
      <c r="P21" s="206" t="e">
        <f>AVERAGE(P3:P19)</f>
        <v>#DIV/0!</v>
      </c>
      <c r="Q21" s="204"/>
      <c r="R21" s="200"/>
    </row>
    <row r="22" spans="1:19">
      <c r="A22" s="200"/>
      <c r="B22" s="200"/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</row>
    <row r="23" spans="1:19">
      <c r="A23" s="218" t="s">
        <v>175</v>
      </c>
      <c r="B23" s="218"/>
      <c r="C23" s="218"/>
      <c r="D23" s="218"/>
      <c r="E23" s="218"/>
      <c r="F23" s="218"/>
      <c r="G23" s="218"/>
      <c r="H23" s="218"/>
      <c r="I23" s="218"/>
      <c r="J23" s="218"/>
      <c r="K23" s="218"/>
      <c r="L23" s="218"/>
      <c r="M23" s="218"/>
      <c r="N23" s="218"/>
      <c r="O23" s="218"/>
      <c r="P23" s="218"/>
      <c r="Q23" s="218"/>
      <c r="R23" s="218"/>
    </row>
    <row r="24" spans="1:19">
      <c r="A24" s="194"/>
      <c r="B24" s="194" t="str">
        <f>B2</f>
        <v>Labor Hours</v>
      </c>
      <c r="C24" s="194" t="str">
        <f>C2</f>
        <v>Travel Hours</v>
      </c>
      <c r="D24" s="194" t="str">
        <f>D2</f>
        <v>Load Hours</v>
      </c>
      <c r="E24" s="194" t="s">
        <v>176</v>
      </c>
      <c r="F24" s="194" t="str">
        <f>F2</f>
        <v>Mileage</v>
      </c>
      <c r="G24" s="194" t="str">
        <f>G2</f>
        <v>OS Mileage</v>
      </c>
      <c r="H24" s="194" t="s">
        <v>177</v>
      </c>
      <c r="I24" s="194" t="str">
        <f>I2</f>
        <v>Thickness (in.)</v>
      </c>
      <c r="J24" s="194" t="str">
        <f>J2</f>
        <v>Sq. Ft. (Foam)</v>
      </c>
      <c r="K24" s="194" t="s">
        <v>166</v>
      </c>
      <c r="L24" s="194"/>
      <c r="M24" s="194"/>
      <c r="N24" s="194" t="str">
        <f t="shared" ref="N24:P24" si="3">N2</f>
        <v>Coating</v>
      </c>
      <c r="O24" s="194" t="str">
        <f t="shared" si="3"/>
        <v>Sq. Ft. (Base)</v>
      </c>
      <c r="P24" s="194" t="str">
        <f t="shared" si="3"/>
        <v>Gal/Sq. (Base)</v>
      </c>
      <c r="Q24" s="194"/>
      <c r="R24" s="194"/>
    </row>
    <row r="25" spans="1:19" s="195" customFormat="1">
      <c r="A25" s="200"/>
      <c r="B25" s="200">
        <f>SUM(Estimate!D78:D92)</f>
        <v>0</v>
      </c>
      <c r="C25" s="200">
        <f>Estimate!E97*Estimate!C97*Estimate!B70</f>
        <v>0</v>
      </c>
      <c r="D25" s="200">
        <f>Estimate!E95*Estimate!C95*Estimate!B70</f>
        <v>0</v>
      </c>
      <c r="E25" s="204">
        <f>Estimate!H118</f>
        <v>0</v>
      </c>
      <c r="F25" s="200">
        <f>Estimate!B70*Estimate!C70</f>
        <v>0</v>
      </c>
      <c r="G25" s="200">
        <f>Estimate!B68*Estimate!C68</f>
        <v>0</v>
      </c>
      <c r="H25" s="207">
        <f>SUM(Estimate!G19:G21)</f>
        <v>0</v>
      </c>
      <c r="I25" s="206"/>
      <c r="J25" s="207">
        <f>SUM(Estimate!C19:C21)</f>
        <v>0</v>
      </c>
      <c r="K25" s="208"/>
      <c r="L25" s="200"/>
      <c r="M25" s="200"/>
      <c r="N25" s="209">
        <f>SUM(Estimate!G30:G32)</f>
        <v>0</v>
      </c>
      <c r="O25" s="207">
        <f>SUM(Estimate!C30:C32)</f>
        <v>0</v>
      </c>
      <c r="P25" s="210"/>
      <c r="Q25" s="204"/>
      <c r="R25" s="200"/>
    </row>
    <row r="26" spans="1:19">
      <c r="A26" s="218" t="s">
        <v>178</v>
      </c>
      <c r="B26" s="218"/>
      <c r="C26" s="218"/>
      <c r="D26" s="218"/>
      <c r="E26" s="218"/>
      <c r="F26" s="218"/>
      <c r="G26" s="218"/>
      <c r="H26" s="218"/>
      <c r="I26" s="218"/>
      <c r="J26" s="218"/>
      <c r="K26" s="218"/>
      <c r="L26" s="218"/>
      <c r="M26" s="218"/>
      <c r="N26" s="218"/>
      <c r="O26" s="218"/>
      <c r="P26" s="218"/>
      <c r="Q26" s="218"/>
      <c r="R26" s="218"/>
    </row>
    <row r="27" spans="1:19" s="211" customFormat="1">
      <c r="A27" s="194"/>
      <c r="B27" s="194" t="str">
        <f>B2</f>
        <v>Labor Hours</v>
      </c>
      <c r="C27" s="194" t="str">
        <f>C2</f>
        <v>Travel Hours</v>
      </c>
      <c r="D27" s="194" t="str">
        <f>D2</f>
        <v>Load Hours</v>
      </c>
      <c r="E27" s="194" t="s">
        <v>176</v>
      </c>
      <c r="F27" s="194" t="str">
        <f>F2</f>
        <v>Mileage</v>
      </c>
      <c r="G27" s="194" t="str">
        <f>G2</f>
        <v>OS Mileage</v>
      </c>
      <c r="H27" s="194" t="str">
        <f>H24</f>
        <v>Foam (lbs.)</v>
      </c>
      <c r="I27" s="194" t="str">
        <f>I2</f>
        <v>Thickness (in.)</v>
      </c>
      <c r="J27" s="194" t="str">
        <f>J2</f>
        <v>Sq. Ft. (Foam)</v>
      </c>
      <c r="K27" s="194" t="s">
        <v>166</v>
      </c>
      <c r="L27" s="194"/>
      <c r="M27" s="194"/>
      <c r="N27" s="194" t="str">
        <f t="shared" ref="N27:P27" si="4">N2</f>
        <v>Coating</v>
      </c>
      <c r="O27" s="194" t="str">
        <f t="shared" si="4"/>
        <v>Sq. Ft. (Base)</v>
      </c>
      <c r="P27" s="194" t="str">
        <f t="shared" si="4"/>
        <v>Gal/Sq. (Base)</v>
      </c>
      <c r="Q27" s="194"/>
      <c r="R27" s="194"/>
    </row>
    <row r="28" spans="1:19" s="195" customFormat="1">
      <c r="A28" s="200"/>
      <c r="B28" s="200">
        <f>B25-B21</f>
        <v>0</v>
      </c>
      <c r="C28" s="200">
        <f>C25-C21</f>
        <v>0</v>
      </c>
      <c r="D28" s="200">
        <f>D25-D21</f>
        <v>0</v>
      </c>
      <c r="E28" s="204">
        <f>E25-E21</f>
        <v>0</v>
      </c>
      <c r="F28" s="200">
        <f t="shared" ref="F28:O28" si="5">F25-F21</f>
        <v>0</v>
      </c>
      <c r="G28" s="200">
        <f t="shared" si="5"/>
        <v>0</v>
      </c>
      <c r="H28" s="200">
        <f t="shared" si="5"/>
        <v>0</v>
      </c>
      <c r="I28" s="200" t="e">
        <f>I25-I21</f>
        <v>#DIV/0!</v>
      </c>
      <c r="J28" s="200">
        <f>J25-J21</f>
        <v>0</v>
      </c>
      <c r="K28" s="205" t="e">
        <f>K21-K25</f>
        <v>#DIV/0!</v>
      </c>
      <c r="L28" s="200"/>
      <c r="M28" s="200"/>
      <c r="N28" s="200">
        <f t="shared" si="5"/>
        <v>0</v>
      </c>
      <c r="O28" s="200">
        <f t="shared" si="5"/>
        <v>0</v>
      </c>
      <c r="P28" s="206" t="e">
        <f>P25-P21</f>
        <v>#DIV/0!</v>
      </c>
      <c r="Q28" s="204"/>
      <c r="R28" s="200"/>
    </row>
    <row r="29" spans="1:19">
      <c r="A29" s="200"/>
      <c r="B29" s="212" t="e">
        <f>B21/B25</f>
        <v>#DIV/0!</v>
      </c>
      <c r="C29" s="212" t="e">
        <f>C21/C25</f>
        <v>#DIV/0!</v>
      </c>
      <c r="D29" s="212" t="e">
        <f>D21/D25</f>
        <v>#DIV/0!</v>
      </c>
      <c r="E29" s="212" t="e">
        <f>E21/E25</f>
        <v>#DIV/0!</v>
      </c>
      <c r="F29" s="212" t="e">
        <f t="shared" ref="F29:G29" si="6">F21/F25</f>
        <v>#DIV/0!</v>
      </c>
      <c r="G29" s="212" t="e">
        <f t="shared" si="6"/>
        <v>#DIV/0!</v>
      </c>
      <c r="H29" s="212" t="e">
        <f>H21/H25</f>
        <v>#DIV/0!</v>
      </c>
      <c r="I29" s="212"/>
      <c r="J29" s="212" t="e">
        <f t="shared" ref="J29" si="7">J21/J25</f>
        <v>#DIV/0!</v>
      </c>
      <c r="K29" s="212"/>
      <c r="L29" s="212"/>
      <c r="M29" s="212"/>
      <c r="N29" s="212" t="e">
        <f>N21/N25</f>
        <v>#DIV/0!</v>
      </c>
      <c r="O29" s="212" t="e">
        <f t="shared" ref="O29" si="8">O21/O25</f>
        <v>#DIV/0!</v>
      </c>
      <c r="P29" s="212"/>
      <c r="Q29" s="212"/>
      <c r="R29" s="200"/>
    </row>
    <row r="30" spans="1:19">
      <c r="A30" s="200"/>
      <c r="B30" s="204"/>
      <c r="C30" s="204"/>
      <c r="D30" s="204"/>
      <c r="E30" s="204"/>
      <c r="F30" s="204"/>
      <c r="G30" s="204"/>
      <c r="H30" s="204"/>
      <c r="I30" s="204"/>
      <c r="J30" s="204"/>
      <c r="K30" s="204"/>
      <c r="L30" s="204"/>
      <c r="M30" s="204"/>
      <c r="N30" s="204"/>
      <c r="O30" s="204"/>
      <c r="P30" s="204"/>
      <c r="Q30" s="200"/>
      <c r="R30" s="200"/>
    </row>
    <row r="31" spans="1:19">
      <c r="A31" s="200"/>
      <c r="B31" s="200"/>
      <c r="C31" s="200"/>
      <c r="D31" s="200"/>
      <c r="E31" s="200"/>
      <c r="F31" s="200"/>
      <c r="G31" s="200"/>
      <c r="H31" s="200"/>
      <c r="I31" s="200"/>
      <c r="J31" s="200"/>
      <c r="K31" s="200"/>
      <c r="L31" s="200"/>
      <c r="M31" s="200"/>
      <c r="N31" s="200"/>
      <c r="O31" s="200"/>
      <c r="P31" s="200"/>
      <c r="Q31" s="200"/>
      <c r="R31" s="200"/>
    </row>
    <row r="32" spans="1:19">
      <c r="A32" s="200"/>
      <c r="B32" s="200"/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0"/>
      <c r="O32" s="200"/>
      <c r="P32" s="200"/>
      <c r="Q32" s="200"/>
      <c r="R32" s="200"/>
    </row>
    <row r="33" spans="1:18">
      <c r="A33" s="200"/>
      <c r="B33" s="200"/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0"/>
      <c r="O33" s="200"/>
      <c r="P33" s="200"/>
      <c r="Q33" s="200"/>
      <c r="R33" s="200"/>
    </row>
    <row r="34" spans="1:18">
      <c r="A34" s="200"/>
      <c r="B34" s="200"/>
      <c r="C34" s="200"/>
      <c r="D34" s="200"/>
      <c r="E34" s="200"/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00"/>
      <c r="Q34" s="200"/>
      <c r="R34" s="200"/>
    </row>
  </sheetData>
  <mergeCells count="4">
    <mergeCell ref="A1:R1"/>
    <mergeCell ref="A19:R19"/>
    <mergeCell ref="A23:R23"/>
    <mergeCell ref="A26:R26"/>
  </mergeCells>
  <conditionalFormatting sqref="B28:R28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I28 P28">
    <cfRule type="cellIs" dxfId="1" priority="1" operator="equal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039F6-E7E2-4C4D-8EFE-B6B9C5163ABA}">
  <dimension ref="A1:G201"/>
  <sheetViews>
    <sheetView workbookViewId="0">
      <selection activeCell="A2" sqref="A2:H4"/>
    </sheetView>
  </sheetViews>
  <sheetFormatPr defaultRowHeight="12.75"/>
  <cols>
    <col min="1" max="1" width="14.140625" customWidth="1"/>
    <col min="2" max="2" width="15.5703125" customWidth="1"/>
    <col min="3" max="3" width="68.5703125" customWidth="1"/>
    <col min="4" max="4" width="38.5703125" bestFit="1" customWidth="1"/>
    <col min="5" max="5" width="11.42578125" customWidth="1"/>
    <col min="7" max="7" width="11.28515625" customWidth="1"/>
  </cols>
  <sheetData>
    <row r="1" spans="1:7" s="172" customFormat="1" ht="25.5">
      <c r="A1" s="172" t="s">
        <v>179</v>
      </c>
      <c r="B1" s="172" t="s">
        <v>180</v>
      </c>
      <c r="C1" s="172" t="s">
        <v>181</v>
      </c>
      <c r="D1" s="172" t="s">
        <v>182</v>
      </c>
      <c r="E1" s="169" t="s">
        <v>183</v>
      </c>
      <c r="F1" s="169" t="s">
        <v>184</v>
      </c>
      <c r="G1" s="169" t="s">
        <v>185</v>
      </c>
    </row>
    <row r="2" spans="1:7">
      <c r="A2" s="85"/>
      <c r="B2" s="85"/>
      <c r="C2" s="85"/>
      <c r="E2" s="191" t="b">
        <v>0</v>
      </c>
      <c r="F2" s="191" t="b">
        <v>0</v>
      </c>
      <c r="G2" s="192"/>
    </row>
    <row r="3" spans="1:7">
      <c r="A3" s="85"/>
      <c r="B3" s="85"/>
      <c r="C3" s="85"/>
      <c r="E3" s="191" t="b">
        <v>0</v>
      </c>
      <c r="F3" s="191" t="b">
        <v>0</v>
      </c>
      <c r="G3" s="192"/>
    </row>
    <row r="4" spans="1:7">
      <c r="A4" s="85"/>
      <c r="B4" s="85"/>
      <c r="C4" s="85"/>
      <c r="D4" s="85"/>
      <c r="E4" s="191" t="b">
        <v>0</v>
      </c>
      <c r="F4" s="191" t="b">
        <v>0</v>
      </c>
      <c r="G4" s="192"/>
    </row>
    <row r="5" spans="1:7">
      <c r="E5" s="191" t="b">
        <v>0</v>
      </c>
      <c r="F5" s="191" t="b">
        <v>0</v>
      </c>
      <c r="G5" s="192"/>
    </row>
    <row r="6" spans="1:7">
      <c r="E6" s="191" t="b">
        <v>0</v>
      </c>
      <c r="F6" s="191" t="b">
        <v>0</v>
      </c>
      <c r="G6" s="192"/>
    </row>
    <row r="7" spans="1:7">
      <c r="E7" s="191" t="b">
        <v>0</v>
      </c>
      <c r="F7" s="191" t="b">
        <v>0</v>
      </c>
      <c r="G7" s="192"/>
    </row>
    <row r="8" spans="1:7">
      <c r="E8" s="191" t="b">
        <v>0</v>
      </c>
      <c r="F8" s="191" t="b">
        <v>0</v>
      </c>
      <c r="G8" s="192"/>
    </row>
    <row r="9" spans="1:7">
      <c r="E9" s="191" t="b">
        <v>0</v>
      </c>
      <c r="F9" s="191" t="b">
        <v>0</v>
      </c>
      <c r="G9" s="192"/>
    </row>
    <row r="10" spans="1:7">
      <c r="E10" s="191" t="b">
        <v>0</v>
      </c>
      <c r="F10" s="191" t="b">
        <v>0</v>
      </c>
      <c r="G10" s="192"/>
    </row>
    <row r="11" spans="1:7">
      <c r="E11" s="191" t="b">
        <v>0</v>
      </c>
      <c r="F11" s="191" t="b">
        <v>0</v>
      </c>
      <c r="G11" s="192"/>
    </row>
    <row r="12" spans="1:7">
      <c r="E12" s="191" t="b">
        <v>0</v>
      </c>
      <c r="F12" s="191" t="b">
        <v>0</v>
      </c>
      <c r="G12" s="192"/>
    </row>
    <row r="13" spans="1:7">
      <c r="E13" s="191" t="b">
        <v>0</v>
      </c>
      <c r="F13" s="191" t="b">
        <v>0</v>
      </c>
      <c r="G13" s="192"/>
    </row>
    <row r="14" spans="1:7">
      <c r="E14" s="191" t="b">
        <v>0</v>
      </c>
      <c r="F14" s="191" t="b">
        <v>0</v>
      </c>
      <c r="G14" s="192"/>
    </row>
    <row r="15" spans="1:7">
      <c r="E15" s="191" t="b">
        <v>0</v>
      </c>
      <c r="F15" s="191" t="b">
        <v>0</v>
      </c>
      <c r="G15" s="192"/>
    </row>
    <row r="16" spans="1:7">
      <c r="E16" s="191" t="b">
        <v>0</v>
      </c>
      <c r="F16" s="191" t="b">
        <v>0</v>
      </c>
      <c r="G16" s="192"/>
    </row>
    <row r="17" spans="5:7">
      <c r="E17" s="191" t="b">
        <v>0</v>
      </c>
      <c r="F17" s="191" t="b">
        <v>0</v>
      </c>
      <c r="G17" s="192"/>
    </row>
    <row r="18" spans="5:7">
      <c r="E18" s="191" t="b">
        <v>0</v>
      </c>
      <c r="F18" s="191" t="b">
        <v>0</v>
      </c>
      <c r="G18" s="192"/>
    </row>
    <row r="19" spans="5:7">
      <c r="E19" s="191" t="b">
        <v>0</v>
      </c>
      <c r="F19" s="191" t="b">
        <v>0</v>
      </c>
      <c r="G19" s="192"/>
    </row>
    <row r="20" spans="5:7">
      <c r="E20" s="191" t="b">
        <v>0</v>
      </c>
      <c r="F20" s="191" t="b">
        <v>0</v>
      </c>
      <c r="G20" s="192"/>
    </row>
    <row r="21" spans="5:7">
      <c r="E21" s="191" t="b">
        <v>0</v>
      </c>
      <c r="F21" s="191" t="b">
        <v>0</v>
      </c>
      <c r="G21" s="192"/>
    </row>
    <row r="22" spans="5:7">
      <c r="E22" s="191" t="b">
        <v>0</v>
      </c>
      <c r="F22" s="191" t="b">
        <v>0</v>
      </c>
      <c r="G22" s="192"/>
    </row>
    <row r="23" spans="5:7">
      <c r="E23" s="191" t="b">
        <v>0</v>
      </c>
      <c r="F23" s="191" t="b">
        <v>0</v>
      </c>
      <c r="G23" s="192"/>
    </row>
    <row r="24" spans="5:7">
      <c r="E24" s="191" t="b">
        <v>0</v>
      </c>
      <c r="F24" s="191" t="b">
        <v>0</v>
      </c>
      <c r="G24" s="192"/>
    </row>
    <row r="25" spans="5:7">
      <c r="E25" s="191" t="b">
        <v>0</v>
      </c>
      <c r="F25" s="191" t="b">
        <v>0</v>
      </c>
      <c r="G25" s="192"/>
    </row>
    <row r="26" spans="5:7">
      <c r="E26" s="191" t="b">
        <v>0</v>
      </c>
      <c r="F26" s="191" t="b">
        <v>0</v>
      </c>
      <c r="G26" s="192"/>
    </row>
    <row r="27" spans="5:7">
      <c r="E27" s="191" t="b">
        <v>0</v>
      </c>
      <c r="F27" s="191" t="b">
        <v>0</v>
      </c>
      <c r="G27" s="192"/>
    </row>
    <row r="28" spans="5:7">
      <c r="E28" s="191" t="b">
        <v>0</v>
      </c>
      <c r="F28" s="191" t="b">
        <v>0</v>
      </c>
      <c r="G28" s="192"/>
    </row>
    <row r="29" spans="5:7">
      <c r="E29" s="191" t="b">
        <v>0</v>
      </c>
      <c r="F29" s="191" t="b">
        <v>0</v>
      </c>
      <c r="G29" s="192"/>
    </row>
    <row r="30" spans="5:7">
      <c r="E30" s="191" t="b">
        <v>0</v>
      </c>
      <c r="F30" s="191" t="b">
        <v>0</v>
      </c>
      <c r="G30" s="192"/>
    </row>
    <row r="31" spans="5:7">
      <c r="E31" s="191" t="b">
        <v>0</v>
      </c>
      <c r="F31" s="191" t="b">
        <v>0</v>
      </c>
      <c r="G31" s="192"/>
    </row>
    <row r="32" spans="5:7">
      <c r="E32" s="191" t="b">
        <v>0</v>
      </c>
      <c r="F32" s="191" t="b">
        <v>0</v>
      </c>
      <c r="G32" s="192"/>
    </row>
    <row r="33" spans="5:7">
      <c r="E33" s="191" t="b">
        <v>0</v>
      </c>
      <c r="F33" s="191" t="b">
        <v>0</v>
      </c>
      <c r="G33" s="192"/>
    </row>
    <row r="34" spans="5:7">
      <c r="E34" s="191" t="b">
        <v>0</v>
      </c>
      <c r="F34" s="191" t="b">
        <v>0</v>
      </c>
      <c r="G34" s="192"/>
    </row>
    <row r="35" spans="5:7">
      <c r="E35" s="191" t="b">
        <v>0</v>
      </c>
      <c r="F35" s="191" t="b">
        <v>0</v>
      </c>
      <c r="G35" s="192"/>
    </row>
    <row r="36" spans="5:7">
      <c r="E36" s="191" t="b">
        <v>0</v>
      </c>
      <c r="F36" s="191" t="b">
        <v>0</v>
      </c>
      <c r="G36" s="192"/>
    </row>
    <row r="37" spans="5:7">
      <c r="E37" s="191" t="b">
        <v>0</v>
      </c>
      <c r="F37" s="191" t="b">
        <v>0</v>
      </c>
      <c r="G37" s="192"/>
    </row>
    <row r="38" spans="5:7">
      <c r="E38" s="191" t="b">
        <v>0</v>
      </c>
      <c r="F38" s="191" t="b">
        <v>0</v>
      </c>
      <c r="G38" s="192"/>
    </row>
    <row r="39" spans="5:7">
      <c r="E39" s="191" t="b">
        <v>0</v>
      </c>
      <c r="F39" s="191" t="b">
        <v>0</v>
      </c>
      <c r="G39" s="192"/>
    </row>
    <row r="40" spans="5:7">
      <c r="E40" s="191" t="b">
        <v>0</v>
      </c>
      <c r="F40" s="191" t="b">
        <v>0</v>
      </c>
      <c r="G40" s="192"/>
    </row>
    <row r="41" spans="5:7">
      <c r="E41" s="191" t="b">
        <v>0</v>
      </c>
      <c r="F41" s="191" t="b">
        <v>0</v>
      </c>
      <c r="G41" s="192"/>
    </row>
    <row r="42" spans="5:7">
      <c r="E42" s="191" t="b">
        <v>0</v>
      </c>
      <c r="F42" s="191" t="b">
        <v>0</v>
      </c>
      <c r="G42" s="192"/>
    </row>
    <row r="43" spans="5:7">
      <c r="E43" s="191" t="b">
        <v>0</v>
      </c>
      <c r="F43" s="191" t="b">
        <v>0</v>
      </c>
      <c r="G43" s="192"/>
    </row>
    <row r="44" spans="5:7">
      <c r="E44" s="191" t="b">
        <v>0</v>
      </c>
      <c r="F44" s="191" t="b">
        <v>0</v>
      </c>
      <c r="G44" s="192"/>
    </row>
    <row r="45" spans="5:7">
      <c r="E45" s="191" t="b">
        <v>0</v>
      </c>
      <c r="F45" s="191" t="b">
        <v>0</v>
      </c>
      <c r="G45" s="192"/>
    </row>
    <row r="46" spans="5:7">
      <c r="E46" s="191" t="b">
        <v>0</v>
      </c>
      <c r="F46" s="191" t="b">
        <v>0</v>
      </c>
      <c r="G46" s="192"/>
    </row>
    <row r="47" spans="5:7">
      <c r="E47" s="191" t="b">
        <v>0</v>
      </c>
      <c r="F47" s="191" t="b">
        <v>0</v>
      </c>
      <c r="G47" s="192"/>
    </row>
    <row r="48" spans="5:7">
      <c r="E48" s="191" t="b">
        <v>0</v>
      </c>
      <c r="F48" s="191" t="b">
        <v>0</v>
      </c>
      <c r="G48" s="192"/>
    </row>
    <row r="49" spans="5:7">
      <c r="E49" s="191" t="b">
        <v>0</v>
      </c>
      <c r="F49" s="191" t="b">
        <v>0</v>
      </c>
      <c r="G49" s="192"/>
    </row>
    <row r="50" spans="5:7">
      <c r="E50" s="191" t="b">
        <v>0</v>
      </c>
      <c r="F50" s="191" t="b">
        <v>0</v>
      </c>
      <c r="G50" s="192"/>
    </row>
    <row r="51" spans="5:7">
      <c r="E51" s="191" t="b">
        <v>0</v>
      </c>
      <c r="F51" s="191" t="b">
        <v>0</v>
      </c>
      <c r="G51" s="192"/>
    </row>
    <row r="52" spans="5:7">
      <c r="E52" s="191" t="b">
        <v>0</v>
      </c>
      <c r="F52" s="191" t="b">
        <v>0</v>
      </c>
      <c r="G52" s="192"/>
    </row>
    <row r="53" spans="5:7">
      <c r="E53" s="191" t="b">
        <v>0</v>
      </c>
      <c r="F53" s="191" t="b">
        <v>0</v>
      </c>
      <c r="G53" s="192"/>
    </row>
    <row r="54" spans="5:7">
      <c r="E54" s="191" t="b">
        <v>0</v>
      </c>
      <c r="F54" s="191" t="b">
        <v>0</v>
      </c>
      <c r="G54" s="192"/>
    </row>
    <row r="55" spans="5:7">
      <c r="E55" s="191" t="b">
        <v>0</v>
      </c>
      <c r="F55" s="191" t="b">
        <v>0</v>
      </c>
      <c r="G55" s="192"/>
    </row>
    <row r="56" spans="5:7">
      <c r="E56" s="191" t="b">
        <v>0</v>
      </c>
      <c r="F56" s="191" t="b">
        <v>0</v>
      </c>
      <c r="G56" s="192"/>
    </row>
    <row r="57" spans="5:7">
      <c r="E57" s="191" t="b">
        <v>0</v>
      </c>
      <c r="F57" s="191" t="b">
        <v>0</v>
      </c>
      <c r="G57" s="192"/>
    </row>
    <row r="58" spans="5:7">
      <c r="E58" s="191" t="b">
        <v>0</v>
      </c>
      <c r="F58" s="191" t="b">
        <v>0</v>
      </c>
      <c r="G58" s="192"/>
    </row>
    <row r="59" spans="5:7">
      <c r="E59" s="191" t="b">
        <v>0</v>
      </c>
      <c r="F59" s="191" t="b">
        <v>0</v>
      </c>
      <c r="G59" s="192"/>
    </row>
    <row r="60" spans="5:7">
      <c r="E60" s="191" t="b">
        <v>0</v>
      </c>
      <c r="F60" s="191" t="b">
        <v>0</v>
      </c>
      <c r="G60" s="192"/>
    </row>
    <row r="61" spans="5:7">
      <c r="E61" s="191" t="b">
        <v>0</v>
      </c>
      <c r="F61" s="191" t="b">
        <v>0</v>
      </c>
      <c r="G61" s="192"/>
    </row>
    <row r="62" spans="5:7">
      <c r="E62" s="191" t="b">
        <v>0</v>
      </c>
      <c r="F62" s="191" t="b">
        <v>0</v>
      </c>
      <c r="G62" s="192"/>
    </row>
    <row r="63" spans="5:7">
      <c r="E63" s="191" t="b">
        <v>0</v>
      </c>
      <c r="F63" s="191" t="b">
        <v>0</v>
      </c>
      <c r="G63" s="192"/>
    </row>
    <row r="64" spans="5:7">
      <c r="E64" s="191" t="b">
        <v>0</v>
      </c>
      <c r="F64" s="191" t="b">
        <v>0</v>
      </c>
      <c r="G64" s="192"/>
    </row>
    <row r="65" spans="5:7">
      <c r="E65" s="191" t="b">
        <v>0</v>
      </c>
      <c r="F65" s="191" t="b">
        <v>0</v>
      </c>
      <c r="G65" s="192"/>
    </row>
    <row r="66" spans="5:7">
      <c r="E66" s="191" t="b">
        <v>0</v>
      </c>
      <c r="F66" s="191" t="b">
        <v>0</v>
      </c>
      <c r="G66" s="192"/>
    </row>
    <row r="67" spans="5:7">
      <c r="E67" s="191" t="b">
        <v>0</v>
      </c>
      <c r="F67" s="191" t="b">
        <v>0</v>
      </c>
      <c r="G67" s="192"/>
    </row>
    <row r="68" spans="5:7">
      <c r="E68" s="191" t="b">
        <v>0</v>
      </c>
      <c r="F68" s="191" t="b">
        <v>0</v>
      </c>
      <c r="G68" s="192"/>
    </row>
    <row r="69" spans="5:7">
      <c r="E69" s="191" t="b">
        <v>0</v>
      </c>
      <c r="F69" s="191" t="b">
        <v>0</v>
      </c>
      <c r="G69" s="192"/>
    </row>
    <row r="70" spans="5:7">
      <c r="E70" s="191" t="b">
        <v>0</v>
      </c>
      <c r="F70" s="191" t="b">
        <v>0</v>
      </c>
      <c r="G70" s="192"/>
    </row>
    <row r="71" spans="5:7">
      <c r="E71" s="191" t="b">
        <v>0</v>
      </c>
      <c r="F71" s="191" t="b">
        <v>0</v>
      </c>
      <c r="G71" s="192"/>
    </row>
    <row r="72" spans="5:7">
      <c r="E72" s="191" t="b">
        <v>0</v>
      </c>
      <c r="F72" s="191" t="b">
        <v>0</v>
      </c>
      <c r="G72" s="192"/>
    </row>
    <row r="73" spans="5:7">
      <c r="E73" s="191" t="b">
        <v>0</v>
      </c>
      <c r="F73" s="191" t="b">
        <v>0</v>
      </c>
      <c r="G73" s="192"/>
    </row>
    <row r="74" spans="5:7">
      <c r="E74" s="191" t="b">
        <v>0</v>
      </c>
      <c r="F74" s="191" t="b">
        <v>0</v>
      </c>
      <c r="G74" s="192"/>
    </row>
    <row r="75" spans="5:7">
      <c r="E75" s="191" t="b">
        <v>0</v>
      </c>
      <c r="F75" s="191" t="b">
        <v>0</v>
      </c>
      <c r="G75" s="192"/>
    </row>
    <row r="76" spans="5:7">
      <c r="E76" s="191" t="b">
        <v>0</v>
      </c>
      <c r="F76" s="191" t="b">
        <v>0</v>
      </c>
      <c r="G76" s="192"/>
    </row>
    <row r="77" spans="5:7">
      <c r="E77" s="191" t="b">
        <v>0</v>
      </c>
      <c r="F77" s="191" t="b">
        <v>0</v>
      </c>
      <c r="G77" s="192"/>
    </row>
    <row r="78" spans="5:7">
      <c r="E78" s="191" t="b">
        <v>0</v>
      </c>
      <c r="F78" s="191" t="b">
        <v>0</v>
      </c>
      <c r="G78" s="192"/>
    </row>
    <row r="79" spans="5:7">
      <c r="E79" s="191" t="b">
        <v>0</v>
      </c>
      <c r="F79" s="191" t="b">
        <v>0</v>
      </c>
      <c r="G79" s="192"/>
    </row>
    <row r="80" spans="5:7">
      <c r="E80" s="191" t="b">
        <v>0</v>
      </c>
      <c r="F80" s="191" t="b">
        <v>0</v>
      </c>
      <c r="G80" s="192"/>
    </row>
    <row r="81" spans="5:7">
      <c r="E81" s="191" t="b">
        <v>0</v>
      </c>
      <c r="F81" s="191" t="b">
        <v>0</v>
      </c>
      <c r="G81" s="192"/>
    </row>
    <row r="82" spans="5:7">
      <c r="E82" s="191" t="b">
        <v>0</v>
      </c>
      <c r="F82" s="191" t="b">
        <v>0</v>
      </c>
      <c r="G82" s="192"/>
    </row>
    <row r="83" spans="5:7">
      <c r="E83" s="191" t="b">
        <v>0</v>
      </c>
      <c r="F83" s="191" t="b">
        <v>0</v>
      </c>
      <c r="G83" s="192"/>
    </row>
    <row r="84" spans="5:7">
      <c r="E84" s="191" t="b">
        <v>0</v>
      </c>
      <c r="F84" s="191" t="b">
        <v>0</v>
      </c>
      <c r="G84" s="192"/>
    </row>
    <row r="85" spans="5:7">
      <c r="E85" s="191" t="b">
        <v>0</v>
      </c>
      <c r="F85" s="191" t="b">
        <v>0</v>
      </c>
      <c r="G85" s="192"/>
    </row>
    <row r="86" spans="5:7">
      <c r="E86" s="191" t="b">
        <v>0</v>
      </c>
      <c r="F86" s="191" t="b">
        <v>0</v>
      </c>
      <c r="G86" s="192"/>
    </row>
    <row r="87" spans="5:7">
      <c r="E87" s="191" t="b">
        <v>0</v>
      </c>
      <c r="F87" s="191" t="b">
        <v>0</v>
      </c>
      <c r="G87" s="192"/>
    </row>
    <row r="88" spans="5:7">
      <c r="E88" s="191" t="b">
        <v>0</v>
      </c>
      <c r="F88" s="191" t="b">
        <v>0</v>
      </c>
      <c r="G88" s="192"/>
    </row>
    <row r="89" spans="5:7">
      <c r="E89" s="191" t="b">
        <v>0</v>
      </c>
      <c r="F89" s="191" t="b">
        <v>0</v>
      </c>
      <c r="G89" s="192"/>
    </row>
    <row r="90" spans="5:7">
      <c r="E90" s="191" t="b">
        <v>0</v>
      </c>
      <c r="F90" s="191" t="b">
        <v>0</v>
      </c>
      <c r="G90" s="192"/>
    </row>
    <row r="91" spans="5:7">
      <c r="E91" s="191" t="b">
        <v>0</v>
      </c>
      <c r="F91" s="191" t="b">
        <v>0</v>
      </c>
      <c r="G91" s="192"/>
    </row>
    <row r="92" spans="5:7">
      <c r="E92" s="191" t="b">
        <v>0</v>
      </c>
      <c r="F92" s="191" t="b">
        <v>0</v>
      </c>
      <c r="G92" s="192"/>
    </row>
    <row r="93" spans="5:7">
      <c r="E93" s="191" t="b">
        <v>0</v>
      </c>
      <c r="F93" s="191" t="b">
        <v>0</v>
      </c>
      <c r="G93" s="192"/>
    </row>
    <row r="94" spans="5:7">
      <c r="E94" s="191" t="b">
        <v>0</v>
      </c>
      <c r="F94" s="191" t="b">
        <v>0</v>
      </c>
      <c r="G94" s="192"/>
    </row>
    <row r="95" spans="5:7">
      <c r="E95" s="191" t="b">
        <v>0</v>
      </c>
      <c r="F95" s="191" t="b">
        <v>0</v>
      </c>
      <c r="G95" s="192"/>
    </row>
    <row r="96" spans="5:7">
      <c r="E96" s="191" t="b">
        <v>0</v>
      </c>
      <c r="F96" s="191" t="b">
        <v>0</v>
      </c>
      <c r="G96" s="192"/>
    </row>
    <row r="97" spans="5:7">
      <c r="E97" s="191" t="b">
        <v>0</v>
      </c>
      <c r="F97" s="191" t="b">
        <v>0</v>
      </c>
      <c r="G97" s="192"/>
    </row>
    <row r="98" spans="5:7">
      <c r="E98" s="191" t="b">
        <v>0</v>
      </c>
      <c r="F98" s="191" t="b">
        <v>0</v>
      </c>
      <c r="G98" s="192"/>
    </row>
    <row r="99" spans="5:7">
      <c r="E99" s="191" t="b">
        <v>0</v>
      </c>
      <c r="F99" s="191" t="b">
        <v>0</v>
      </c>
      <c r="G99" s="192"/>
    </row>
    <row r="100" spans="5:7">
      <c r="E100" s="191" t="b">
        <v>0</v>
      </c>
      <c r="F100" s="191" t="b">
        <v>0</v>
      </c>
      <c r="G100" s="192"/>
    </row>
    <row r="101" spans="5:7">
      <c r="E101" s="191" t="b">
        <v>0</v>
      </c>
      <c r="F101" s="191" t="b">
        <v>0</v>
      </c>
      <c r="G101" s="192"/>
    </row>
    <row r="102" spans="5:7">
      <c r="E102" s="191" t="b">
        <v>0</v>
      </c>
      <c r="F102" s="191" t="b">
        <v>0</v>
      </c>
      <c r="G102" s="192"/>
    </row>
    <row r="103" spans="5:7">
      <c r="E103" s="191" t="b">
        <v>0</v>
      </c>
      <c r="F103" s="191" t="b">
        <v>0</v>
      </c>
      <c r="G103" s="192"/>
    </row>
    <row r="104" spans="5:7">
      <c r="E104" s="191" t="b">
        <v>0</v>
      </c>
      <c r="F104" s="191" t="b">
        <v>0</v>
      </c>
      <c r="G104" s="192"/>
    </row>
    <row r="105" spans="5:7">
      <c r="E105" s="191" t="b">
        <v>0</v>
      </c>
      <c r="F105" s="191" t="b">
        <v>0</v>
      </c>
      <c r="G105" s="192"/>
    </row>
    <row r="106" spans="5:7">
      <c r="E106" s="191" t="b">
        <v>0</v>
      </c>
      <c r="F106" s="191" t="b">
        <v>0</v>
      </c>
      <c r="G106" s="192"/>
    </row>
    <row r="107" spans="5:7">
      <c r="E107" s="191" t="b">
        <v>0</v>
      </c>
      <c r="F107" s="191" t="b">
        <v>0</v>
      </c>
      <c r="G107" s="192"/>
    </row>
    <row r="108" spans="5:7">
      <c r="E108" s="191" t="b">
        <v>0</v>
      </c>
      <c r="F108" s="191" t="b">
        <v>0</v>
      </c>
      <c r="G108" s="192"/>
    </row>
    <row r="109" spans="5:7">
      <c r="E109" s="191" t="b">
        <v>0</v>
      </c>
      <c r="F109" s="191" t="b">
        <v>0</v>
      </c>
      <c r="G109" s="192"/>
    </row>
    <row r="110" spans="5:7">
      <c r="E110" s="191" t="b">
        <v>0</v>
      </c>
      <c r="F110" s="191" t="b">
        <v>0</v>
      </c>
      <c r="G110" s="192"/>
    </row>
    <row r="111" spans="5:7">
      <c r="E111" s="191" t="b">
        <v>0</v>
      </c>
      <c r="F111" s="191" t="b">
        <v>0</v>
      </c>
      <c r="G111" s="192"/>
    </row>
    <row r="112" spans="5:7">
      <c r="E112" s="191" t="b">
        <v>0</v>
      </c>
      <c r="F112" s="191" t="b">
        <v>0</v>
      </c>
      <c r="G112" s="192"/>
    </row>
    <row r="113" spans="5:7">
      <c r="E113" s="191" t="b">
        <v>0</v>
      </c>
      <c r="F113" s="191" t="b">
        <v>0</v>
      </c>
      <c r="G113" s="192"/>
    </row>
    <row r="114" spans="5:7">
      <c r="E114" s="191" t="b">
        <v>0</v>
      </c>
      <c r="F114" s="191" t="b">
        <v>0</v>
      </c>
      <c r="G114" s="192"/>
    </row>
    <row r="115" spans="5:7">
      <c r="E115" s="191" t="b">
        <v>0</v>
      </c>
      <c r="F115" s="191" t="b">
        <v>0</v>
      </c>
      <c r="G115" s="192"/>
    </row>
    <row r="116" spans="5:7">
      <c r="E116" s="191" t="b">
        <v>0</v>
      </c>
      <c r="F116" s="191" t="b">
        <v>0</v>
      </c>
      <c r="G116" s="192"/>
    </row>
    <row r="117" spans="5:7">
      <c r="E117" s="191" t="b">
        <v>0</v>
      </c>
      <c r="F117" s="191" t="b">
        <v>0</v>
      </c>
      <c r="G117" s="192"/>
    </row>
    <row r="118" spans="5:7">
      <c r="E118" s="191" t="b">
        <v>0</v>
      </c>
      <c r="F118" s="191" t="b">
        <v>0</v>
      </c>
      <c r="G118" s="192"/>
    </row>
    <row r="119" spans="5:7">
      <c r="E119" s="191" t="b">
        <v>0</v>
      </c>
      <c r="F119" s="191" t="b">
        <v>0</v>
      </c>
      <c r="G119" s="192"/>
    </row>
    <row r="120" spans="5:7">
      <c r="E120" s="191" t="b">
        <v>0</v>
      </c>
      <c r="F120" s="191" t="b">
        <v>0</v>
      </c>
      <c r="G120" s="192"/>
    </row>
    <row r="121" spans="5:7">
      <c r="E121" s="191" t="b">
        <v>0</v>
      </c>
      <c r="F121" s="191" t="b">
        <v>0</v>
      </c>
      <c r="G121" s="192"/>
    </row>
    <row r="122" spans="5:7">
      <c r="E122" s="191" t="b">
        <v>0</v>
      </c>
      <c r="F122" s="191" t="b">
        <v>0</v>
      </c>
      <c r="G122" s="192"/>
    </row>
    <row r="123" spans="5:7">
      <c r="E123" s="191" t="b">
        <v>0</v>
      </c>
      <c r="F123" s="191" t="b">
        <v>0</v>
      </c>
      <c r="G123" s="192"/>
    </row>
    <row r="124" spans="5:7">
      <c r="E124" s="191" t="b">
        <v>0</v>
      </c>
      <c r="F124" s="191" t="b">
        <v>0</v>
      </c>
      <c r="G124" s="192"/>
    </row>
    <row r="125" spans="5:7">
      <c r="E125" s="191" t="b">
        <v>0</v>
      </c>
      <c r="F125" s="191" t="b">
        <v>0</v>
      </c>
      <c r="G125" s="192"/>
    </row>
    <row r="126" spans="5:7">
      <c r="E126" s="191" t="b">
        <v>0</v>
      </c>
      <c r="F126" s="191" t="b">
        <v>0</v>
      </c>
      <c r="G126" s="192"/>
    </row>
    <row r="127" spans="5:7">
      <c r="E127" s="191" t="b">
        <v>0</v>
      </c>
      <c r="F127" s="191" t="b">
        <v>0</v>
      </c>
      <c r="G127" s="192"/>
    </row>
    <row r="128" spans="5:7">
      <c r="E128" s="191" t="b">
        <v>0</v>
      </c>
      <c r="F128" s="191" t="b">
        <v>0</v>
      </c>
      <c r="G128" s="192"/>
    </row>
    <row r="129" spans="5:7">
      <c r="E129" s="191" t="b">
        <v>0</v>
      </c>
      <c r="F129" s="191" t="b">
        <v>0</v>
      </c>
      <c r="G129" s="192"/>
    </row>
    <row r="130" spans="5:7">
      <c r="E130" s="191" t="b">
        <v>0</v>
      </c>
      <c r="F130" s="191" t="b">
        <v>0</v>
      </c>
      <c r="G130" s="192"/>
    </row>
    <row r="131" spans="5:7">
      <c r="E131" s="191" t="b">
        <v>0</v>
      </c>
      <c r="F131" s="191" t="b">
        <v>0</v>
      </c>
      <c r="G131" s="192"/>
    </row>
    <row r="132" spans="5:7">
      <c r="E132" s="191" t="b">
        <v>0</v>
      </c>
      <c r="F132" s="191" t="b">
        <v>0</v>
      </c>
      <c r="G132" s="192"/>
    </row>
    <row r="133" spans="5:7">
      <c r="E133" s="191" t="b">
        <v>0</v>
      </c>
      <c r="F133" s="191" t="b">
        <v>0</v>
      </c>
      <c r="G133" s="192"/>
    </row>
    <row r="134" spans="5:7">
      <c r="E134" s="191" t="b">
        <v>0</v>
      </c>
      <c r="F134" s="191" t="b">
        <v>0</v>
      </c>
      <c r="G134" s="192"/>
    </row>
    <row r="135" spans="5:7">
      <c r="E135" s="191" t="b">
        <v>0</v>
      </c>
      <c r="F135" s="191" t="b">
        <v>0</v>
      </c>
      <c r="G135" s="192"/>
    </row>
    <row r="136" spans="5:7">
      <c r="E136" s="191" t="b">
        <v>0</v>
      </c>
      <c r="F136" s="191" t="b">
        <v>0</v>
      </c>
      <c r="G136" s="192"/>
    </row>
    <row r="137" spans="5:7">
      <c r="E137" s="191" t="b">
        <v>0</v>
      </c>
      <c r="F137" s="191" t="b">
        <v>0</v>
      </c>
      <c r="G137" s="192"/>
    </row>
    <row r="138" spans="5:7">
      <c r="E138" s="191" t="b">
        <v>0</v>
      </c>
      <c r="F138" s="191" t="b">
        <v>0</v>
      </c>
      <c r="G138" s="192"/>
    </row>
    <row r="139" spans="5:7">
      <c r="E139" s="191" t="b">
        <v>0</v>
      </c>
      <c r="F139" s="191" t="b">
        <v>0</v>
      </c>
      <c r="G139" s="192"/>
    </row>
    <row r="140" spans="5:7">
      <c r="E140" s="191" t="b">
        <v>0</v>
      </c>
      <c r="F140" s="191" t="b">
        <v>0</v>
      </c>
      <c r="G140" s="192"/>
    </row>
    <row r="141" spans="5:7">
      <c r="E141" s="191" t="b">
        <v>0</v>
      </c>
      <c r="F141" s="191" t="b">
        <v>0</v>
      </c>
      <c r="G141" s="192"/>
    </row>
    <row r="142" spans="5:7">
      <c r="E142" s="191" t="b">
        <v>0</v>
      </c>
      <c r="F142" s="191" t="b">
        <v>0</v>
      </c>
      <c r="G142" s="192"/>
    </row>
    <row r="143" spans="5:7">
      <c r="E143" s="191" t="b">
        <v>0</v>
      </c>
      <c r="F143" s="191" t="b">
        <v>0</v>
      </c>
      <c r="G143" s="192"/>
    </row>
    <row r="144" spans="5:7">
      <c r="E144" s="191" t="b">
        <v>0</v>
      </c>
      <c r="F144" s="191" t="b">
        <v>0</v>
      </c>
      <c r="G144" s="192"/>
    </row>
    <row r="145" spans="5:7">
      <c r="E145" s="191" t="b">
        <v>0</v>
      </c>
      <c r="F145" s="191" t="b">
        <v>0</v>
      </c>
      <c r="G145" s="192"/>
    </row>
    <row r="146" spans="5:7">
      <c r="E146" s="191" t="b">
        <v>0</v>
      </c>
      <c r="F146" s="191" t="b">
        <v>0</v>
      </c>
      <c r="G146" s="192"/>
    </row>
    <row r="147" spans="5:7">
      <c r="E147" s="191" t="b">
        <v>0</v>
      </c>
      <c r="F147" s="191" t="b">
        <v>0</v>
      </c>
      <c r="G147" s="192"/>
    </row>
    <row r="148" spans="5:7">
      <c r="E148" s="191" t="b">
        <v>0</v>
      </c>
      <c r="F148" s="191" t="b">
        <v>0</v>
      </c>
      <c r="G148" s="192"/>
    </row>
    <row r="149" spans="5:7">
      <c r="E149" s="191" t="b">
        <v>0</v>
      </c>
      <c r="F149" s="191" t="b">
        <v>0</v>
      </c>
      <c r="G149" s="192"/>
    </row>
    <row r="150" spans="5:7">
      <c r="E150" s="191" t="b">
        <v>0</v>
      </c>
      <c r="F150" s="191" t="b">
        <v>0</v>
      </c>
      <c r="G150" s="192"/>
    </row>
    <row r="151" spans="5:7">
      <c r="E151" s="191" t="b">
        <v>0</v>
      </c>
      <c r="F151" s="191" t="b">
        <v>0</v>
      </c>
      <c r="G151" s="192"/>
    </row>
    <row r="152" spans="5:7">
      <c r="E152" s="191" t="b">
        <v>0</v>
      </c>
      <c r="F152" s="191" t="b">
        <v>0</v>
      </c>
      <c r="G152" s="192"/>
    </row>
    <row r="153" spans="5:7">
      <c r="E153" s="191" t="b">
        <v>0</v>
      </c>
      <c r="F153" s="191" t="b">
        <v>0</v>
      </c>
      <c r="G153" s="192"/>
    </row>
    <row r="154" spans="5:7">
      <c r="E154" s="191" t="b">
        <v>0</v>
      </c>
      <c r="F154" s="191" t="b">
        <v>0</v>
      </c>
      <c r="G154" s="192"/>
    </row>
    <row r="155" spans="5:7">
      <c r="E155" s="191" t="b">
        <v>0</v>
      </c>
      <c r="F155" s="191" t="b">
        <v>0</v>
      </c>
      <c r="G155" s="192"/>
    </row>
    <row r="156" spans="5:7">
      <c r="E156" s="191" t="b">
        <v>0</v>
      </c>
      <c r="F156" s="191" t="b">
        <v>0</v>
      </c>
      <c r="G156" s="192"/>
    </row>
    <row r="157" spans="5:7">
      <c r="E157" s="191" t="b">
        <v>0</v>
      </c>
      <c r="F157" s="191" t="b">
        <v>0</v>
      </c>
      <c r="G157" s="192"/>
    </row>
    <row r="158" spans="5:7">
      <c r="E158" s="191" t="b">
        <v>0</v>
      </c>
      <c r="F158" s="191" t="b">
        <v>0</v>
      </c>
      <c r="G158" s="192"/>
    </row>
    <row r="159" spans="5:7">
      <c r="E159" s="191" t="b">
        <v>0</v>
      </c>
      <c r="F159" s="191" t="b">
        <v>0</v>
      </c>
      <c r="G159" s="192"/>
    </row>
    <row r="160" spans="5:7">
      <c r="E160" s="191" t="b">
        <v>0</v>
      </c>
      <c r="F160" s="191" t="b">
        <v>0</v>
      </c>
      <c r="G160" s="192"/>
    </row>
    <row r="161" spans="5:7">
      <c r="E161" s="191" t="b">
        <v>0</v>
      </c>
      <c r="F161" s="191" t="b">
        <v>0</v>
      </c>
      <c r="G161" s="192"/>
    </row>
    <row r="162" spans="5:7">
      <c r="E162" s="191" t="b">
        <v>0</v>
      </c>
      <c r="F162" s="191" t="b">
        <v>0</v>
      </c>
      <c r="G162" s="192"/>
    </row>
    <row r="163" spans="5:7">
      <c r="E163" s="191" t="b">
        <v>0</v>
      </c>
      <c r="F163" s="191" t="b">
        <v>0</v>
      </c>
      <c r="G163" s="192"/>
    </row>
    <row r="164" spans="5:7">
      <c r="E164" s="191" t="b">
        <v>0</v>
      </c>
      <c r="F164" s="191" t="b">
        <v>0</v>
      </c>
      <c r="G164" s="192"/>
    </row>
    <row r="165" spans="5:7">
      <c r="E165" s="191" t="b">
        <v>0</v>
      </c>
      <c r="F165" s="191" t="b">
        <v>0</v>
      </c>
      <c r="G165" s="192"/>
    </row>
    <row r="166" spans="5:7">
      <c r="E166" s="191" t="b">
        <v>0</v>
      </c>
      <c r="F166" s="191" t="b">
        <v>0</v>
      </c>
      <c r="G166" s="192"/>
    </row>
    <row r="167" spans="5:7">
      <c r="E167" s="191" t="b">
        <v>0</v>
      </c>
      <c r="F167" s="191" t="b">
        <v>0</v>
      </c>
      <c r="G167" s="192"/>
    </row>
    <row r="168" spans="5:7">
      <c r="E168" s="191" t="b">
        <v>0</v>
      </c>
      <c r="F168" s="191" t="b">
        <v>0</v>
      </c>
      <c r="G168" s="192"/>
    </row>
    <row r="169" spans="5:7">
      <c r="E169" s="191" t="b">
        <v>0</v>
      </c>
      <c r="F169" s="191" t="b">
        <v>0</v>
      </c>
      <c r="G169" s="192"/>
    </row>
    <row r="170" spans="5:7">
      <c r="E170" s="191" t="b">
        <v>0</v>
      </c>
      <c r="F170" s="191" t="b">
        <v>0</v>
      </c>
      <c r="G170" s="192"/>
    </row>
    <row r="171" spans="5:7">
      <c r="E171" s="191" t="b">
        <v>0</v>
      </c>
      <c r="F171" s="191" t="b">
        <v>0</v>
      </c>
      <c r="G171" s="192"/>
    </row>
    <row r="172" spans="5:7">
      <c r="E172" s="191" t="b">
        <v>0</v>
      </c>
      <c r="F172" s="191" t="b">
        <v>0</v>
      </c>
      <c r="G172" s="192"/>
    </row>
    <row r="173" spans="5:7">
      <c r="E173" s="191" t="b">
        <v>0</v>
      </c>
      <c r="F173" s="191" t="b">
        <v>0</v>
      </c>
      <c r="G173" s="192"/>
    </row>
    <row r="174" spans="5:7">
      <c r="E174" s="191" t="b">
        <v>0</v>
      </c>
      <c r="F174" s="191" t="b">
        <v>0</v>
      </c>
      <c r="G174" s="192"/>
    </row>
    <row r="175" spans="5:7">
      <c r="E175" s="191" t="b">
        <v>0</v>
      </c>
      <c r="F175" s="191" t="b">
        <v>0</v>
      </c>
      <c r="G175" s="192"/>
    </row>
    <row r="176" spans="5:7">
      <c r="E176" s="191" t="b">
        <v>0</v>
      </c>
      <c r="F176" s="191" t="b">
        <v>0</v>
      </c>
      <c r="G176" s="192"/>
    </row>
    <row r="177" spans="5:7">
      <c r="E177" s="191" t="b">
        <v>0</v>
      </c>
      <c r="F177" s="191" t="b">
        <v>0</v>
      </c>
      <c r="G177" s="192"/>
    </row>
    <row r="178" spans="5:7">
      <c r="E178" s="191" t="b">
        <v>0</v>
      </c>
      <c r="F178" s="191" t="b">
        <v>0</v>
      </c>
      <c r="G178" s="192"/>
    </row>
    <row r="179" spans="5:7">
      <c r="E179" s="191" t="b">
        <v>0</v>
      </c>
      <c r="F179" s="191" t="b">
        <v>0</v>
      </c>
      <c r="G179" s="192"/>
    </row>
    <row r="180" spans="5:7">
      <c r="E180" s="191" t="b">
        <v>0</v>
      </c>
      <c r="F180" s="191" t="b">
        <v>0</v>
      </c>
      <c r="G180" s="192"/>
    </row>
    <row r="181" spans="5:7">
      <c r="E181" s="191" t="b">
        <v>0</v>
      </c>
      <c r="F181" s="191" t="b">
        <v>0</v>
      </c>
      <c r="G181" s="192"/>
    </row>
    <row r="182" spans="5:7">
      <c r="E182" s="191" t="b">
        <v>0</v>
      </c>
      <c r="F182" s="191" t="b">
        <v>0</v>
      </c>
      <c r="G182" s="192"/>
    </row>
    <row r="183" spans="5:7">
      <c r="E183" s="191" t="b">
        <v>0</v>
      </c>
      <c r="F183" s="191" t="b">
        <v>0</v>
      </c>
      <c r="G183" s="192"/>
    </row>
    <row r="184" spans="5:7">
      <c r="E184" s="191" t="b">
        <v>0</v>
      </c>
      <c r="F184" s="191" t="b">
        <v>0</v>
      </c>
      <c r="G184" s="192"/>
    </row>
    <row r="185" spans="5:7">
      <c r="E185" s="191" t="b">
        <v>0</v>
      </c>
      <c r="F185" s="191" t="b">
        <v>0</v>
      </c>
      <c r="G185" s="192"/>
    </row>
    <row r="186" spans="5:7">
      <c r="E186" s="191" t="b">
        <v>0</v>
      </c>
      <c r="F186" s="191" t="b">
        <v>0</v>
      </c>
      <c r="G186" s="192"/>
    </row>
    <row r="187" spans="5:7">
      <c r="E187" s="191" t="b">
        <v>0</v>
      </c>
      <c r="F187" s="191" t="b">
        <v>0</v>
      </c>
      <c r="G187" s="192"/>
    </row>
    <row r="188" spans="5:7">
      <c r="E188" s="191" t="b">
        <v>0</v>
      </c>
      <c r="F188" s="191" t="b">
        <v>0</v>
      </c>
      <c r="G188" s="192"/>
    </row>
    <row r="189" spans="5:7">
      <c r="E189" s="191" t="b">
        <v>0</v>
      </c>
      <c r="F189" s="191" t="b">
        <v>0</v>
      </c>
      <c r="G189" s="192"/>
    </row>
    <row r="190" spans="5:7">
      <c r="E190" s="191" t="b">
        <v>0</v>
      </c>
      <c r="F190" s="191" t="b">
        <v>0</v>
      </c>
      <c r="G190" s="192"/>
    </row>
    <row r="191" spans="5:7">
      <c r="E191" s="191" t="b">
        <v>0</v>
      </c>
      <c r="F191" s="191" t="b">
        <v>0</v>
      </c>
      <c r="G191" s="192"/>
    </row>
    <row r="192" spans="5:7">
      <c r="E192" s="191" t="b">
        <v>0</v>
      </c>
      <c r="F192" s="191" t="b">
        <v>0</v>
      </c>
      <c r="G192" s="192"/>
    </row>
    <row r="193" spans="5:7">
      <c r="E193" s="191" t="b">
        <v>0</v>
      </c>
      <c r="F193" s="191" t="b">
        <v>0</v>
      </c>
      <c r="G193" s="192"/>
    </row>
    <row r="194" spans="5:7">
      <c r="E194" s="191" t="b">
        <v>0</v>
      </c>
      <c r="F194" s="191" t="b">
        <v>0</v>
      </c>
      <c r="G194" s="192"/>
    </row>
    <row r="195" spans="5:7">
      <c r="E195" s="191" t="b">
        <v>0</v>
      </c>
      <c r="F195" s="191" t="b">
        <v>0</v>
      </c>
      <c r="G195" s="192"/>
    </row>
    <row r="196" spans="5:7">
      <c r="E196" s="191" t="b">
        <v>0</v>
      </c>
      <c r="F196" s="191" t="b">
        <v>0</v>
      </c>
      <c r="G196" s="192"/>
    </row>
    <row r="197" spans="5:7">
      <c r="E197" s="191" t="b">
        <v>0</v>
      </c>
      <c r="F197" s="191" t="b">
        <v>0</v>
      </c>
      <c r="G197" s="192"/>
    </row>
    <row r="198" spans="5:7">
      <c r="E198" s="191" t="b">
        <v>0</v>
      </c>
      <c r="F198" s="191" t="b">
        <v>0</v>
      </c>
      <c r="G198" s="192"/>
    </row>
    <row r="199" spans="5:7">
      <c r="E199" s="191" t="b">
        <v>0</v>
      </c>
      <c r="F199" s="191" t="b">
        <v>0</v>
      </c>
      <c r="G199" s="192"/>
    </row>
    <row r="200" spans="5:7">
      <c r="E200" s="191" t="b">
        <v>0</v>
      </c>
      <c r="F200" s="191" t="b">
        <v>0</v>
      </c>
      <c r="G200" s="192"/>
    </row>
    <row r="201" spans="5:7">
      <c r="E201" s="191" t="b">
        <v>0</v>
      </c>
      <c r="F201" s="191" t="b">
        <v>0</v>
      </c>
      <c r="G201" s="19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5"/>
  <sheetViews>
    <sheetView workbookViewId="0">
      <selection activeCell="C15" sqref="C15"/>
    </sheetView>
  </sheetViews>
  <sheetFormatPr defaultRowHeight="12.75"/>
  <cols>
    <col min="1" max="1" width="15" customWidth="1"/>
    <col min="2" max="2" width="11.28515625" customWidth="1"/>
    <col min="3" max="3" width="12" style="4" customWidth="1"/>
    <col min="4" max="4" width="11.28515625" customWidth="1"/>
  </cols>
  <sheetData>
    <row r="1" spans="1:5" s="5" customFormat="1">
      <c r="A1" s="87" t="s">
        <v>186</v>
      </c>
      <c r="B1" s="87"/>
      <c r="C1" s="94" t="s">
        <v>187</v>
      </c>
      <c r="D1" s="87" t="s">
        <v>188</v>
      </c>
      <c r="E1" s="87" t="s">
        <v>189</v>
      </c>
    </row>
    <row r="2" spans="1:5">
      <c r="A2" t="s">
        <v>190</v>
      </c>
      <c r="C2" s="4">
        <v>190</v>
      </c>
      <c r="D2">
        <v>55</v>
      </c>
      <c r="E2" s="4">
        <f>C2/D2</f>
        <v>3.4545454545454546</v>
      </c>
    </row>
    <row r="3" spans="1:5">
      <c r="A3" t="s">
        <v>191</v>
      </c>
      <c r="C3" s="4">
        <v>260</v>
      </c>
      <c r="D3">
        <v>55</v>
      </c>
      <c r="E3" s="4">
        <f>C3/D3</f>
        <v>4.7272727272727275</v>
      </c>
    </row>
    <row r="5" spans="1:5">
      <c r="A5" s="87" t="s">
        <v>192</v>
      </c>
      <c r="B5" s="87" t="s">
        <v>193</v>
      </c>
      <c r="C5" s="94" t="s">
        <v>187</v>
      </c>
      <c r="D5" s="87" t="s">
        <v>188</v>
      </c>
    </row>
    <row r="6" spans="1:5">
      <c r="A6" s="85"/>
      <c r="B6" s="85" t="s">
        <v>194</v>
      </c>
      <c r="C6" s="98">
        <v>27</v>
      </c>
      <c r="D6">
        <v>300</v>
      </c>
    </row>
    <row r="7" spans="1:5">
      <c r="A7" s="93"/>
      <c r="B7" s="85" t="s">
        <v>195</v>
      </c>
      <c r="C7" s="95">
        <v>37</v>
      </c>
      <c r="D7">
        <v>300</v>
      </c>
    </row>
    <row r="8" spans="1:5">
      <c r="A8" s="93"/>
      <c r="B8" s="85" t="s">
        <v>196</v>
      </c>
      <c r="C8" s="95">
        <v>44</v>
      </c>
      <c r="D8">
        <v>300</v>
      </c>
    </row>
    <row r="9" spans="1:5">
      <c r="A9" s="93"/>
      <c r="B9" s="85" t="s">
        <v>197</v>
      </c>
      <c r="C9" s="98">
        <v>54</v>
      </c>
      <c r="D9">
        <v>300</v>
      </c>
    </row>
    <row r="10" spans="1:5">
      <c r="A10" s="93"/>
      <c r="B10" s="85" t="s">
        <v>198</v>
      </c>
      <c r="C10" s="98">
        <v>80</v>
      </c>
      <c r="D10">
        <v>300</v>
      </c>
    </row>
    <row r="11" spans="1:5">
      <c r="A11" s="93"/>
      <c r="B11" s="85" t="s">
        <v>199</v>
      </c>
      <c r="C11" s="95">
        <v>120</v>
      </c>
      <c r="D11">
        <v>300</v>
      </c>
    </row>
    <row r="12" spans="1:5">
      <c r="A12" s="93"/>
      <c r="B12" s="85" t="s">
        <v>200</v>
      </c>
      <c r="C12" s="95">
        <v>150</v>
      </c>
      <c r="D12">
        <v>300</v>
      </c>
    </row>
    <row r="14" spans="1:5" s="5" customFormat="1">
      <c r="A14" s="87" t="s">
        <v>27</v>
      </c>
      <c r="B14" s="87" t="s">
        <v>25</v>
      </c>
      <c r="C14" s="94" t="s">
        <v>187</v>
      </c>
      <c r="D14" s="87" t="s">
        <v>188</v>
      </c>
      <c r="E14" s="87"/>
    </row>
    <row r="15" spans="1:5">
      <c r="B15" s="85" t="s">
        <v>195</v>
      </c>
      <c r="C15" s="4">
        <v>22</v>
      </c>
      <c r="D15">
        <v>75</v>
      </c>
    </row>
    <row r="16" spans="1:5">
      <c r="B16" s="85" t="s">
        <v>197</v>
      </c>
      <c r="C16" s="4">
        <v>42</v>
      </c>
      <c r="D16">
        <v>75</v>
      </c>
    </row>
    <row r="17" spans="1:4">
      <c r="A17" s="85"/>
      <c r="B17" s="85" t="s">
        <v>198</v>
      </c>
      <c r="C17" s="4">
        <v>62</v>
      </c>
      <c r="D17">
        <v>75</v>
      </c>
    </row>
    <row r="18" spans="1:4">
      <c r="B18" s="85" t="s">
        <v>201</v>
      </c>
      <c r="C18" s="4">
        <v>124</v>
      </c>
      <c r="D18">
        <v>75</v>
      </c>
    </row>
    <row r="19" spans="1:4">
      <c r="C19"/>
    </row>
    <row r="20" spans="1:4">
      <c r="C20"/>
    </row>
    <row r="21" spans="1:4">
      <c r="A21" s="85"/>
      <c r="B21" s="85"/>
      <c r="C21"/>
    </row>
    <row r="22" spans="1:4">
      <c r="A22" s="85"/>
      <c r="B22" s="85"/>
    </row>
    <row r="24" spans="1:4" s="5" customFormat="1">
      <c r="A24" s="87"/>
      <c r="B24" s="87"/>
      <c r="C24" s="94"/>
      <c r="D24" s="87"/>
    </row>
    <row r="30" spans="1:4" s="5" customFormat="1">
      <c r="A30" s="87"/>
      <c r="B30" s="176"/>
      <c r="C30" s="177"/>
      <c r="D30" s="176"/>
    </row>
    <row r="32" spans="1:4">
      <c r="B32" s="89"/>
    </row>
    <row r="34" spans="1:1">
      <c r="A34" s="93"/>
    </row>
    <row r="35" spans="1:1">
      <c r="A35" s="85"/>
    </row>
  </sheetData>
  <phoneticPr fontId="5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15"/>
  <sheetViews>
    <sheetView workbookViewId="0">
      <selection activeCell="F15" sqref="F15"/>
    </sheetView>
  </sheetViews>
  <sheetFormatPr defaultRowHeight="12.75"/>
  <sheetData>
    <row r="2" spans="2:6">
      <c r="B2" s="107" t="s">
        <v>202</v>
      </c>
      <c r="C2" s="108" t="s">
        <v>203</v>
      </c>
      <c r="D2" s="109" t="s">
        <v>193</v>
      </c>
      <c r="E2" s="109" t="s">
        <v>204</v>
      </c>
    </row>
    <row r="3" spans="2:6">
      <c r="B3" s="110"/>
      <c r="C3" s="111"/>
      <c r="D3" s="112"/>
      <c r="E3" s="113"/>
    </row>
    <row r="4" spans="2:6">
      <c r="B4" s="7" t="s">
        <v>205</v>
      </c>
      <c r="C4" s="114"/>
      <c r="D4" s="115"/>
      <c r="E4" s="116">
        <f>C4*D4</f>
        <v>0</v>
      </c>
    </row>
    <row r="5" spans="2:6">
      <c r="B5" s="7"/>
      <c r="C5" s="114"/>
      <c r="D5" s="117"/>
      <c r="E5" s="116">
        <f t="shared" ref="E5:E15" si="0">C5*D5</f>
        <v>0</v>
      </c>
    </row>
    <row r="6" spans="2:6">
      <c r="B6" s="7"/>
      <c r="C6" s="114"/>
      <c r="D6" s="117"/>
      <c r="E6" s="116">
        <f t="shared" si="0"/>
        <v>0</v>
      </c>
    </row>
    <row r="7" spans="2:6">
      <c r="B7" s="7"/>
      <c r="C7" s="114"/>
      <c r="D7" s="117"/>
      <c r="E7" s="116">
        <f t="shared" si="0"/>
        <v>0</v>
      </c>
    </row>
    <row r="8" spans="2:6">
      <c r="B8" s="7"/>
      <c r="C8" s="114"/>
      <c r="D8" s="117"/>
      <c r="E8" s="116">
        <f t="shared" si="0"/>
        <v>0</v>
      </c>
    </row>
    <row r="9" spans="2:6">
      <c r="B9" s="118" t="s">
        <v>206</v>
      </c>
      <c r="C9" s="114"/>
      <c r="D9" s="117"/>
      <c r="E9" s="116">
        <f t="shared" si="0"/>
        <v>0</v>
      </c>
    </row>
    <row r="10" spans="2:6">
      <c r="B10" s="7"/>
      <c r="C10" s="114"/>
      <c r="D10" s="117"/>
      <c r="E10" s="116">
        <f t="shared" si="0"/>
        <v>0</v>
      </c>
    </row>
    <row r="11" spans="2:6">
      <c r="B11" s="7"/>
      <c r="C11" s="114"/>
      <c r="D11" s="117"/>
      <c r="E11" s="116">
        <f t="shared" si="0"/>
        <v>0</v>
      </c>
    </row>
    <row r="12" spans="2:6">
      <c r="B12" s="118"/>
      <c r="C12" s="114"/>
      <c r="D12" s="117"/>
      <c r="E12" s="116">
        <f t="shared" si="0"/>
        <v>0</v>
      </c>
    </row>
    <row r="13" spans="2:6">
      <c r="B13" s="118" t="s">
        <v>207</v>
      </c>
      <c r="C13" s="114"/>
      <c r="D13" s="117"/>
      <c r="E13" s="116">
        <f>(C13/2)*D13</f>
        <v>0</v>
      </c>
    </row>
    <row r="14" spans="2:6">
      <c r="B14" s="7"/>
      <c r="C14" s="114"/>
      <c r="D14" s="117"/>
      <c r="E14" s="116">
        <f>(C14/2)*D14</f>
        <v>0</v>
      </c>
    </row>
    <row r="15" spans="2:6">
      <c r="B15" s="7"/>
      <c r="C15" s="114"/>
      <c r="D15" s="117"/>
      <c r="E15" s="116">
        <f t="shared" si="0"/>
        <v>0</v>
      </c>
      <c r="F15" s="105">
        <f>SUM(E4:E15)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82818a-8f70-42ae-9188-0d4dcde29678" xsi:nil="true"/>
    <lcf76f155ced4ddcb4097134ff3c332f xmlns="75eb4e53-0b43-4e28-991f-5aee810537ea">
      <Terms xmlns="http://schemas.microsoft.com/office/infopath/2007/PartnerControls"/>
    </lcf76f155ced4ddcb4097134ff3c332f>
    <_Flow_SignoffStatus xmlns="75eb4e53-0b43-4e28-991f-5aee810537ea" xsi:nil="true"/>
    <FolderCreatedDate xmlns="75eb4e53-0b43-4e28-991f-5aee810537ea" xsi:nil="true"/>
    <IconOverlay xmlns="http://schemas.microsoft.com/sharepoint/v4" xsi:nil="true"/>
    <ClosedLostReason xmlns="75eb4e53-0b43-4e28-991f-5aee810537ea" xsi:nil="true"/>
    <LeadStatus xmlns="75eb4e53-0b43-4e28-991f-5aee810537ea" xsi:nil="true"/>
    <SourceofLead xmlns="75eb4e53-0b43-4e28-991f-5aee810537ea" xsi:nil="true"/>
    <DollarValue xmlns="75eb4e53-0b43-4e28-991f-5aee810537ea" xsi:nil="true"/>
    <_dlc_DocId xmlns="4b82818a-8f70-42ae-9188-0d4dcde29678">NJ25XDCPTP67-167323429-1082145</_dlc_DocId>
    <_dlc_DocIdUrl xmlns="4b82818a-8f70-42ae-9188-0d4dcde29678">
      <Url>https://aro365531128.sharepoint.com/sites/Data/_layouts/15/DocIdRedir.aspx?ID=NJ25XDCPTP67-167323429-1082145</Url>
      <Description>NJ25XDCPTP67-167323429-1082145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848B5F9CDFEC4283105E2A17FECE0B" ma:contentTypeVersion="1796" ma:contentTypeDescription="Create a new document." ma:contentTypeScope="" ma:versionID="b05b4c246bda5ce640b97ab58164c8be">
  <xsd:schema xmlns:xsd="http://www.w3.org/2001/XMLSchema" xmlns:xs="http://www.w3.org/2001/XMLSchema" xmlns:p="http://schemas.microsoft.com/office/2006/metadata/properties" xmlns:ns2="4b82818a-8f70-42ae-9188-0d4dcde29678" xmlns:ns3="75eb4e53-0b43-4e28-991f-5aee810537ea" xmlns:ns4="http://schemas.microsoft.com/sharepoint/v4" targetNamespace="http://schemas.microsoft.com/office/2006/metadata/properties" ma:root="true" ma:fieldsID="1466c2fa712e33e949eb0684358570b2" ns2:_="" ns3:_="" ns4:_="">
    <xsd:import namespace="4b82818a-8f70-42ae-9188-0d4dcde29678"/>
    <xsd:import namespace="75eb4e53-0b43-4e28-991f-5aee810537ea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Tags" minOccurs="0"/>
                <xsd:element ref="ns3:MediaServiceOCR" minOccurs="0"/>
                <xsd:element ref="ns3:_Flow_SignoffStatus" minOccurs="0"/>
                <xsd:element ref="ns3:MediaServiceAutoKeyPoints" minOccurs="0"/>
                <xsd:element ref="ns3:MediaServiceKeyPoints" minOccurs="0"/>
                <xsd:element ref="ns2:SharedWithUsers" minOccurs="0"/>
                <xsd:element ref="ns2:SharedWithDetails" minOccurs="0"/>
                <xsd:element ref="ns4:IconOverlay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LeadStatus" minOccurs="0"/>
                <xsd:element ref="ns3:DollarValue" minOccurs="0"/>
                <xsd:element ref="ns3:ClosedLostReason" minOccurs="0"/>
                <xsd:element ref="ns3:SourceofLead" minOccurs="0"/>
                <xsd:element ref="ns3:FolderCreatedDate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82818a-8f70-42ae-9188-0d4dcde2967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8" nillable="true" ma:displayName="Taxonomy Catch All Column" ma:hidden="true" ma:list="{02ae7828-dbf5-455c-a7a0-107ee2c25e36}" ma:internalName="TaxCatchAll" ma:showField="CatchAllData" ma:web="4b82818a-8f70-42ae-9188-0d4dcde296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eb4e53-0b43-4e28-991f-5aee810537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19" nillable="true" ma:displayName="Deal Owner" ma:format="Dropdown" ma:internalName="Sign_x002d_off_x0020_status">
      <xsd:simpleType>
        <xsd:restriction base="dms:Choice">
          <xsd:enumeration value="Aaron"/>
          <xsd:enumeration value="Anthony"/>
          <xsd:enumeration value="Randy"/>
          <xsd:enumeration value="Roger"/>
          <xsd:enumeration value="Quin"/>
          <xsd:enumeration value="Repairs"/>
        </xsd:restriction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bd9c94f7-4397-4ff7-b347-57b23b5775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eadStatus" ma:index="31" nillable="true" ma:displayName="Lead Status" ma:format="Dropdown" ma:internalName="LeadStatus">
      <xsd:simpleType>
        <xsd:restriction base="dms:Choice">
          <xsd:enumeration value="COLD "/>
          <xsd:enumeration value="WARM"/>
          <xsd:enumeration value="HOT"/>
        </xsd:restriction>
      </xsd:simpleType>
    </xsd:element>
    <xsd:element name="DollarValue" ma:index="32" nillable="true" ma:displayName="Dollar Value" ma:format="Dropdown" ma:internalName="DollarValue" ma:percentage="FALSE">
      <xsd:simpleType>
        <xsd:restriction base="dms:Number"/>
      </xsd:simpleType>
    </xsd:element>
    <xsd:element name="ClosedLostReason" ma:index="33" nillable="true" ma:displayName="Closed Lost Reason" ma:format="Dropdown" ma:internalName="ClosedLostReason">
      <xsd:simpleType>
        <xsd:restriction base="dms:Text">
          <xsd:maxLength value="255"/>
        </xsd:restriction>
      </xsd:simpleType>
    </xsd:element>
    <xsd:element name="SourceofLead" ma:index="34" nillable="true" ma:displayName="Source of Lead " ma:format="Dropdown" ma:internalName="SourceofLead">
      <xsd:simpleType>
        <xsd:restriction base="dms:Text">
          <xsd:maxLength value="255"/>
        </xsd:restriction>
      </xsd:simpleType>
    </xsd:element>
    <xsd:element name="FolderCreatedDate" ma:index="35" nillable="true" ma:displayName="Folder Created Date" ma:format="DateOnly" ma:internalName="FolderCreatedDate">
      <xsd:simpleType>
        <xsd:restriction base="dms:DateTime"/>
      </xsd:simpleType>
    </xsd:element>
    <xsd:element name="MediaServiceBillingMetadata" ma:index="3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4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C142A6-1097-4BE0-A432-9B988CFEB001}"/>
</file>

<file path=customXml/itemProps2.xml><?xml version="1.0" encoding="utf-8"?>
<ds:datastoreItem xmlns:ds="http://schemas.openxmlformats.org/officeDocument/2006/customXml" ds:itemID="{9073BFDD-2285-4E6D-8D75-FF10C5BA8D50}"/>
</file>

<file path=customXml/itemProps3.xml><?xml version="1.0" encoding="utf-8"?>
<ds:datastoreItem xmlns:ds="http://schemas.openxmlformats.org/officeDocument/2006/customXml" ds:itemID="{D7D19022-760B-4465-AFD7-97DF0A510048}"/>
</file>

<file path=customXml/itemProps4.xml><?xml version="1.0" encoding="utf-8"?>
<ds:datastoreItem xmlns:ds="http://schemas.openxmlformats.org/officeDocument/2006/customXml" ds:itemID="{D86CD7CE-E8E0-4B17-B40D-BD117D215D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Craig Miller</dc:creator>
  <cp:keywords/>
  <dc:description/>
  <cp:lastModifiedBy/>
  <cp:revision/>
  <dcterms:created xsi:type="dcterms:W3CDTF">2005-10-17T20:30:19Z</dcterms:created>
  <dcterms:modified xsi:type="dcterms:W3CDTF">2026-07-31T12:50:01Z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0x0101006E848B5F9CDFEC4283105E2A17FECE0B</vt:lpwstr>
  </property>
  <property fmtid="{D5CDD505-2E9C-101B-9397-08002B2CF9AE}" pid="3" name="_dlc_DocIdItemGuid">
    <vt:lpwstr>8fcc4da2-54ed-4afc-81ea-d4c64f8e1a13</vt:lpwstr>
  </property>
  <property fmtid="{D5CDD505-2E9C-101B-9397-08002B2CF9AE}" pid="4" name="MediaServiceImageTags">
    <vt:lpwstr/>
  </property>
  <property fmtid="{D5CDD505-2E9C-101B-9397-08002B2CF9AE}" pid="5" name="Order">
    <vt:r8>83800</vt:r8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