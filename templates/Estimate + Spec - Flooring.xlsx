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31ff3e654e45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" sheetId="1" r:id="R43f69defcc8e4034"/>
    <x:sheet xmlns:r="http://schemas.openxmlformats.org/officeDocument/2006/relationships" name="Revised - Patching Only - HJB" sheetId="10" r:id="R9fc2d3b101cc4063"/>
    <x:sheet xmlns:r="http://schemas.openxmlformats.org/officeDocument/2006/relationships" name="People" sheetId="3" r:id="Rad64e084961c4bf0"/>
    <x:sheet xmlns:r="http://schemas.openxmlformats.org/officeDocument/2006/relationships" name="Materials" sheetId="5" r:id="Rbe68ca0bba534018"/>
    <x:sheet xmlns:r="http://schemas.openxmlformats.org/officeDocument/2006/relationships" name="General" sheetId="8" r:id="R9654dcd78e794dac"/>
    <x:sheet xmlns:r="http://schemas.openxmlformats.org/officeDocument/2006/relationships" name="Performance &amp; Payment Bonds" sheetId="9" r:id="Reabe0c53aac04ecc"/>
  </x:sheets>
  <x:definedNames>
    <x:definedName name="Coating_Databas">Estimate!#REF!</x:definedName>
    <x:definedName name="Coating_Databas" localSheetId="1">'Revised - Patching Only - HJB'!#REF!</x:definedName>
    <x:definedName name="Coating_Databas" localSheetId="5">[1]Estimate!#REF!</x:definedName>
  </x:definedNames>
</x:workbook>
</file>

<file path=xl/sharedStrings.xml><?xml version="1.0" encoding="utf-8"?>
<x:sst xmlns:x="http://schemas.openxmlformats.org/spreadsheetml/2006/main">
  <x:si>
    <x:t xml:space="preserve">Today's Date:</x:t>
  </x:si>
  <x:si>
    <x:t xml:space="preserve">Bill To Address:</x:t>
  </x:si>
  <x:si>
    <x:t xml:space="preserve">Job Name:</x:t>
  </x:si>
  <x:si>
    <x:t xml:space="preserve">City, State, Zip:</x:t>
  </x:si>
  <x:si>
    <x:t xml:space="preserve">Job Type:</x:t>
  </x:si>
  <x:si>
    <x:t xml:space="preserve">Contact:</x:t>
  </x:si>
  <x:si>
    <x:t xml:space="preserve">Site Address:</x:t>
  </x:si>
  <x:si>
    <x:t xml:space="preserve">Email Address:</x:t>
  </x:si>
  <x:si>
    <x:t xml:space="preserve">Phone:</x:t>
  </x:si>
  <x:si>
    <x:t xml:space="preserve">Fax:</x:t>
  </x:si>
  <x:si>
    <x:t xml:space="preserve">Title:</x:t>
  </x:si>
  <x:si>
    <x:t xml:space="preserve">Est. Square Feet:</x:t>
  </x:si>
  <x:si>
    <x:t xml:space="preserve">Materials</x:t>
  </x:si>
  <x:si>
    <x:t xml:space="preserve">*</x:t>
  </x:si>
  <x:si>
    <x:t xml:space="preserve">Type</x:t>
  </x:si>
  <x:si>
    <x:t xml:space="preserve">Sq. Ft.</x:t>
  </x:si>
  <x:si>
    <x:t xml:space="preserve">Unit Price</x:t>
  </x:si>
  <x:si>
    <x:t xml:space="preserve">Est. Units</x:t>
  </x:si>
  <x:si>
    <x:t xml:space="preserve">Est. Cost</x:t>
  </x:si>
  <x:si>
    <x:t xml:space="preserve">Foam</x:t>
  </x:si>
  <x:si>
    <x:t xml:space="preserve">Mfg:</x:t>
  </x:si>
  <x:si>
    <x:t xml:space="preserve">Gaco = 1, BASF = 2</x:t>
  </x:si>
  <x:si>
    <x:t xml:space="preserve">Types:</x:t>
  </x:si>
  <x:si>
    <x:t xml:space="preserve">Roof 2.7 = 1</x:t>
  </x:si>
  <x:si>
    <x:t xml:space="preserve">Thickness</x:t>
  </x:si>
  <x:si>
    <x:t xml:space="preserve">Yield</x:t>
  </x:si>
  <x:si>
    <x:t xml:space="preserve">Coating</x:t>
  </x:si>
  <x:si>
    <x:t xml:space="preserve">Gaco = 1, BASF = 2, AW = 3</x:t>
  </x:si>
  <x:si>
    <x:t xml:space="preserve">Silicone = 1,  Acrylic = 2, Urethane = 3, Aluminum = 4</x:t>
  </x:si>
  <x:si>
    <x:t xml:space="preserve">Gal/Sq.</x:t>
  </x:si>
  <x:si>
    <x:t xml:space="preserve">NPI Epoxy</x:t>
  </x:si>
  <x:si>
    <x:t xml:space="preserve">Polyspartic</x:t>
  </x:si>
  <x:si>
    <x:t xml:space="preserve">Margin %</x:t>
  </x:si>
  <x:si>
    <x:t xml:space="preserve">Thinner</x:t>
  </x:si>
  <x:si>
    <x:t xml:space="preserve">Naphtha VM&amp;P = 1, Mineral Spirits = 2, Xylene= 3</x:t>
  </x:si>
  <x:si>
    <x:t xml:space="preserve">Granules</x:t>
  </x:si>
  <x:si>
    <x:t xml:space="preserve">3M = 1, SESCO = 2</x:t>
  </x:si>
  <x:si>
    <x:t xml:space="preserve">Primer</x:t>
  </x:si>
  <x:si>
    <x:t xml:space="preserve">Gaco E-5320 = 1, Red Zinc Oxide = 2, Black Foam = 3</x:t>
  </x:si>
  <x:si>
    <x:t xml:space="preserve">Caulk/Sealant</x:t>
  </x:si>
  <x:si>
    <x:t xml:space="preserve">Silicone Tube = 1, Silicone Sausage = 2, Urethane Tube = 3</x:t>
  </x:si>
  <x:si>
    <x:t xml:space="preserve">Urethane Sausage = 4, Gaco SF-2000 = 5, Buttergrade = 6</x:t>
  </x:si>
  <x:si>
    <x:t xml:space="preserve">Linear Ft.</x:t>
  </x:si>
  <x:si>
    <x:t xml:space="preserve">Misc./Seams</x:t>
  </x:si>
  <x:si>
    <x:t xml:space="preserve">Units</x:t>
  </x:si>
  <x:si>
    <x:t xml:space="preserve">Penetrations</x:t>
  </x:si>
  <x:si>
    <x:t xml:space="preserve">HVAC Units</x:t>
  </x:si>
  <x:si>
    <x:t xml:space="preserve">Drains</x:t>
  </x:si>
  <x:si>
    <x:t xml:space="preserve">Board Stock</x:t>
  </x:si>
  <x:si>
    <x:t xml:space="preserve">ISO Board = 1, Wood Fiber = 2, Dens Deck = 3</x:t>
  </x:si>
  <x:si>
    <x:t xml:space="preserve">Type X Gyp Board = 4, Flute Filler = 5</x:t>
  </x:si>
  <x:si>
    <x:t xml:space="preserve">Price/Sq.</x:t>
  </x:si>
  <x:si>
    <x:t xml:space="preserve">Length</x:t>
  </x:si>
  <x:si>
    <x:t xml:space="preserve">Fasteners </x:t>
  </x:si>
  <x:si>
    <x:t xml:space="preserve">Plates</x:t>
  </x:si>
  <x:si>
    <x:t xml:space="preserve">Dumpsters</x:t>
  </x:si>
  <x:si>
    <x:t xml:space="preserve">20 Yard = 1, 30 Yard = 2, 40 Yard = 3</x:t>
  </x:si>
  <x:si>
    <x:t xml:space="preserve">Lift</x:t>
  </x:si>
  <x:si>
    <x:t xml:space="preserve">Forklift = 1, Boom = 2, Scissor = 3, Articulating = 4 </x:t>
  </x:si>
  <x:si>
    <x:t xml:space="preserve">Size</x:t>
  </x:si>
  <x:si>
    <x:t xml:space="preserve">Period</x:t>
  </x:si>
  <x:si>
    <x:t xml:space="preserve">Delivery Fee</x:t>
  </x:si>
  <x:si>
    <x:t xml:space="preserve">Width</x:t>
  </x:si>
  <x:si>
    <x:t xml:space="preserve">Fabric</x:t>
  </x:si>
  <x:si>
    <x:t xml:space="preserve">Edge Metal</x:t>
  </x:si>
  <x:si>
    <x:t xml:space="preserve">Gutter</x:t>
  </x:si>
  <x:si>
    <x:t xml:space="preserve">Downspouts</x:t>
  </x:si>
  <x:si>
    <x:t xml:space="preserve">Roof Hatch</x:t>
  </x:si>
  <x:si>
    <x:t xml:space="preserve">Scuppers</x:t>
  </x:si>
  <x:si>
    <x:t xml:space="preserve">Curbs</x:t>
  </x:si>
  <x:si>
    <x:t xml:space="preserve">Ladders</x:t>
  </x:si>
  <x:si>
    <x:t xml:space="preserve">Pitch Pockets</x:t>
  </x:si>
  <x:si>
    <x:t xml:space="preserve">Est. Days</x:t>
  </x:si>
  <x:si>
    <x:t xml:space="preserve">Generator</x:t>
  </x:si>
  <x:si>
    <x:t xml:space="preserve">Misc.</x:t>
  </x:si>
  <x:si>
    <x:t xml:space="preserve">Freight</x:t>
  </x:si>
  <x:si>
    <x:t xml:space="preserve">No. of Trips</x:t>
  </x:si>
  <x:si>
    <x:t xml:space="preserve">R.T. Miles</x:t>
  </x:si>
  <x:si>
    <x:t xml:space="preserve">Sales/Inspect.</x:t>
  </x:si>
  <x:si>
    <x:t xml:space="preserve">Truck Exp.</x:t>
  </x:si>
  <x:si>
    <x:t xml:space="preserve">*****************</x:t>
  </x:si>
  <x:si>
    <x:t xml:space="preserve">Subtotal Materials</x:t>
  </x:si>
  <x:si>
    <x:t xml:space="preserve">Sales Tax %</x:t>
  </x:si>
  <x:si>
    <x:t xml:space="preserve">Labor / Subcontractor</x:t>
  </x:si>
  <x:si>
    <x:t xml:space="preserve">Days</x:t>
  </x:si>
  <x:si>
    <x:t xml:space="preserve">No. of People</x:t>
  </x:si>
  <x:si>
    <x:t xml:space="preserve">Total Hours</x:t>
  </x:si>
  <x:si>
    <x:t xml:space="preserve">Prevailing Wage</x:t>
  </x:si>
  <x:si>
    <x:t xml:space="preserve">Fringe</x:t>
  </x:si>
  <x:si>
    <x:t xml:space="preserve">Total Prevailing Wage</x:t>
  </x:si>
  <x:si>
    <x:t xml:space="preserve">Daily Rate</x:t>
  </x:si>
  <x:si>
    <x:t xml:space="preserve">Trip #1 Grind &amp;</x:t>
  </x:si>
  <x:si>
    <x:t xml:space="preserve">Patch</x:t>
  </x:si>
  <x:si>
    <x:t xml:space="preserve">Trip #2 Corner</x:t>
  </x:si>
  <x:si>
    <x:t xml:space="preserve">Trip #3 Prep &amp;</x:t>
  </x:si>
  <x:si>
    <x:t xml:space="preserve">Base 707 + Flake</x:t>
  </x:si>
  <x:si>
    <x:t xml:space="preserve">Patch/Grind</x:t>
  </x:si>
  <x:si>
    <x:t xml:space="preserve">Base Coat 707</x:t>
  </x:si>
  <x:si>
    <x:t xml:space="preserve">Details</x:t>
  </x:si>
  <x:si>
    <x:t xml:space="preserve">Trip #4 Top Coat</x:t>
  </x:si>
  <x:si>
    <x:t xml:space="preserve">Touch/Clean Up</x:t>
  </x:si>
  <x:si>
    <x:t xml:space="preserve">Est. Hours / Day</x:t>
  </x:si>
  <x:si>
    <x:t xml:space="preserve">Est. Rate</x:t>
  </x:si>
  <x:si>
    <x:t xml:space="preserve">Loading</x:t>
  </x:si>
  <x:si>
    <x:t xml:space="preserve">Traveling </x:t>
  </x:si>
  <x:si>
    <x:t xml:space="preserve">Est. Hours</x:t>
  </x:si>
  <x:si>
    <x:t xml:space="preserve">Infrared Scan</x:t>
  </x:si>
  <x:si>
    <x:t xml:space="preserve">Meals, Lodging Expenses</x:t>
  </x:si>
  <x:si>
    <x:t xml:space="preserve">Total Days</x:t>
  </x:si>
  <x:si>
    <x:t xml:space="preserve">Subtotal Labor / Subcontractor</x:t>
  </x:si>
  <x:si>
    <x:t xml:space="preserve">Warranty, Bonding, and Insurance</x:t>
  </x:si>
  <x:si>
    <x:t xml:space="preserve">Manufacturer</x:t>
  </x:si>
  <x:si>
    <x:t xml:space="preserve">Years</x:t>
  </x:si>
  <x:si>
    <x:t xml:space="preserve">Unit Cost</x:t>
  </x:si>
  <x:si>
    <x:t xml:space="preserve">Warranty</x:t>
  </x:si>
  <x:si>
    <x:t xml:space="preserve">Miscellaneous Insurance</x:t>
  </x:si>
  <x:si>
    <x:t xml:space="preserve">Permits</x:t>
  </x:si>
  <x:si>
    <x:t xml:space="preserve">Subtotal Warranty, Bonding, Insurance</x:t>
  </x:si>
  <x:si>
    <x:t xml:space="preserve">Total Job Cost</x:t>
  </x:si>
  <x:si>
    <x:t xml:space="preserve">Estimated O/H</x:t>
  </x:si>
  <x:si>
    <x:t xml:space="preserve">Percentage:</x:t>
  </x:si>
  <x:si>
    <x:t xml:space="preserve">Profit</x:t>
  </x:si>
  <x:si>
    <x:t xml:space="preserve">Work Sheet Price</x:t>
  </x:si>
  <x:si>
    <x:t xml:space="preserve">Work Sheet Price + Additional Amount w/o Markup</x:t>
  </x:si>
  <x:si>
    <x:t xml:space="preserve">Summary</x:t>
  </x:si>
  <x:si>
    <x:t xml:space="preserve">Price / Sq. Ft:</x:t>
  </x:si>
  <x:si>
    <x:t xml:space="preserve">Est. Sets:</x:t>
  </x:si>
  <x:si>
    <x:t xml:space="preserve">Crew Size</x:t>
  </x:si>
  <x:si>
    <x:t xml:space="preserve">Job Classification</x:t>
  </x:si>
  <x:si>
    <x:t xml:space="preserve">Hourly Wage</x:t>
  </x:si>
  <x:si>
    <x:t xml:space="preserve">Burden Rate</x:t>
  </x:si>
  <x:si>
    <x:t xml:space="preserve">Foreman / Sprayer</x:t>
  </x:si>
  <x:si>
    <x:t xml:space="preserve">Sprayer / Trailer</x:t>
  </x:si>
  <x:si>
    <x:t xml:space="preserve">Trailer / Hose </x:t>
  </x:si>
  <x:si>
    <x:t xml:space="preserve">Hose / Laborer</x:t>
  </x:si>
  <x:si>
    <x:t xml:space="preserve">Laborer</x:t>
  </x:si>
  <x:si>
    <x:t xml:space="preserve">Hours /Day</x:t>
  </x:si>
  <x:si>
    <x:t xml:space="preserve">Estimated Cost/Day</x:t>
  </x:si>
  <x:si>
    <x:t xml:space="preserve">Crew Leaders</x:t>
  </x:si>
  <x:si>
    <x:t xml:space="preserve">Hourly</x:t>
  </x:si>
  <x:si>
    <x:t xml:space="preserve">Travel</x:t>
  </x:si>
  <x:si>
    <x:t xml:space="preserve">Mariano Perez</x:t>
  </x:si>
  <x:si>
    <x:t xml:space="preserve">Carlos Garcia</x:t>
  </x:si>
  <x:si>
    <x:t xml:space="preserve">Abel Reyes</x:t>
  </x:si>
  <x:si>
    <x:t xml:space="preserve">Miguel Avila</x:t>
  </x:si>
  <x:si>
    <x:t xml:space="preserve">Workers</x:t>
  </x:si>
  <x:si>
    <x:t xml:space="preserve">Hugo</x:t>
  </x:si>
  <x:si>
    <x:t xml:space="preserve">Santos</x:t>
  </x:si>
  <x:si>
    <x:t xml:space="preserve">Erik Avila</x:t>
  </x:si>
  <x:si>
    <x:t xml:space="preserve">Michael</x:t>
  </x:si>
  <x:si>
    <x:t xml:space="preserve">Juan Loa</x:t>
  </x:si>
  <x:si>
    <x:t xml:space="preserve">Axel</x:t>
  </x:si>
  <x:si>
    <x:t xml:space="preserve">Gilberto Morales</x:t>
  </x:si>
  <x:si>
    <x:t xml:space="preserve">Melvin Lutin</x:t>
  </x:si>
  <x:si>
    <x:t xml:space="preserve">Ramiro</x:t>
  </x:si>
  <x:si>
    <x:t xml:space="preserve">Jesus</x:t>
  </x:si>
  <x:si>
    <x:t xml:space="preserve">Onilson Morales</x:t>
  </x:si>
  <x:si>
    <x:t xml:space="preserve">Frederico</x:t>
  </x:si>
  <x:si>
    <x:t xml:space="preserve">Pedro Morales</x:t>
  </x:si>
  <x:si>
    <x:t xml:space="preserve">TEMP Workers</x:t>
  </x:si>
  <x:si>
    <x:t xml:space="preserve">Nelvi</x:t>
  </x:si>
  <x:si>
    <x:t xml:space="preserve">Bryan</x:t>
  </x:si>
  <x:si>
    <x:t xml:space="preserve">Jose</x:t>
  </x:si>
  <x:si>
    <x:t xml:space="preserve">Maura</x:t>
  </x:si>
  <x:si>
    <x:t xml:space="preserve">David</x:t>
  </x:si>
  <x:si>
    <x:t xml:space="preserve">Felipe</x:t>
  </x:si>
  <x:si>
    <x:t xml:space="preserve">Solvents</x:t>
  </x:si>
  <x:si>
    <x:t xml:space="preserve">Cost</x:t>
  </x:si>
  <x:si>
    <x:t xml:space="preserve">Unit</x:t>
  </x:si>
  <x:si>
    <x:t xml:space="preserve">Per Gal</x:t>
  </x:si>
  <x:si>
    <x:t xml:space="preserve">VM&amp;P Natha</x:t>
  </x:si>
  <x:si>
    <x:t xml:space="preserve">Xylene</x:t>
  </x:si>
  <x:si>
    <x:t xml:space="preserve">4"</x:t>
  </x:si>
  <x:si>
    <x:t xml:space="preserve">6"</x:t>
  </x:si>
  <x:si>
    <x:t xml:space="preserve">9"</x:t>
  </x:si>
  <x:si>
    <x:t xml:space="preserve">12"</x:t>
  </x:si>
  <x:si>
    <x:t xml:space="preserve">18"</x:t>
  </x:si>
  <x:si>
    <x:t xml:space="preserve">36"</x:t>
  </x:si>
  <x:si>
    <x:t xml:space="preserve">48"</x:t>
  </x:si>
  <x:si>
    <x:t xml:space="preserve">Board</x:t>
  </x:si>
  <x:si>
    <x:t xml:space="preserve">Truckload</x:t>
  </x:si>
  <x:si>
    <x:t xml:space="preserve">Dens Deck</x:t>
  </x:si>
  <x:si>
    <x:t xml:space="preserve">0.25"</x:t>
  </x:si>
  <x:si>
    <x:t xml:space="preserve">Square</x:t>
  </x:si>
  <x:si>
    <x:t xml:space="preserve">Blackboard</x:t>
  </x:si>
  <x:si>
    <x:t xml:space="preserve">.5"</x:t>
  </x:si>
  <x:si>
    <x:t xml:space="preserve">Type X Gyp. Brd</x:t>
  </x:si>
  <x:si>
    <x:t xml:space="preserve">ISO board</x:t>
  </x:si>
  <x:si>
    <x:t xml:space="preserve">1"</x:t>
  </x:si>
  <x:si>
    <x:t xml:space="preserve">1.5"</x:t>
  </x:si>
  <x:si>
    <x:t xml:space="preserve">2"</x:t>
  </x:si>
  <x:si>
    <x:t xml:space="preserve">3"</x:t>
  </x:si>
  <x:si>
    <x:t xml:space="preserve">Fasteners</x:t>
  </x:si>
  <x:si>
    <x:t xml:space="preserve">Metal Screws</x:t>
  </x:si>
  <x:si>
    <x:t xml:space="preserve">&gt;8</x:t>
  </x:si>
  <x:si>
    <x:t xml:space="preserve">call for pricing</x:t>
  </x:si>
  <x:si>
    <x:t xml:space="preserve">Carlisle</x:t>
  </x:si>
  <x:si>
    <x:t xml:space="preserve">Project Total</x:t>
  </x:si>
</x:sst>
</file>

<file path=xl/styles.xml><?xml version="1.0" encoding="utf-8"?>
<x:styleSheet xmlns:x="http://schemas.openxmlformats.org/spreadsheetml/2006/main">
  <x:numFmts count="8">
    <x:numFmt numFmtId="5" formatCode="&quot;$&quot;#,##0_);\(&quot;$&quot;#,##0\)"/>
    <x:numFmt numFmtId="7" formatCode="&quot;$&quot;#,##0.00_);\(&quot;$&quot;#,##0.00\)"/>
    <x:numFmt numFmtId="8" formatCode="&quot;$&quot;#,##0.00_);[Red]\(&quot;$&quot;#,##0.00\)"/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&quot;$&quot;#,##0"/>
    <x:numFmt numFmtId="165" formatCode="&quot;$&quot;#,##0.00"/>
    <x:numFmt numFmtId="166" formatCode="0.0"/>
  </x:numFmts>
  <x:fonts count="19">
    <x:font>
      <x:sz val="10"/>
      <x:name val="Arial"/>
    </x:font>
    <x:font>
      <x:sz val="11"/>
      <x:color theme="1"/>
      <x:name val="Calibri"/>
    </x:font>
    <x:font>
      <x:b/>
      <x:sz val="10"/>
      <x:name val="Arial"/>
    </x:font>
    <x:font>
      <x:sz val="10"/>
      <x:name val="Arial"/>
    </x:font>
    <x:font>
      <x:b/>
      <x:i/>
      <x:sz val="12"/>
      <x:name val="Arial"/>
    </x:font>
    <x:font>
      <x:sz val="8"/>
      <x:name val="Arial"/>
    </x:font>
    <x:font>
      <x:b/>
      <x:sz val="10"/>
      <x:name val="Arial"/>
    </x:font>
    <x:font>
      <x:b/>
      <x:sz val="11"/>
      <x:name val="Arial"/>
    </x:font>
    <x:font>
      <x:sz val="11"/>
      <x:color indexed="10"/>
      <x:name val="Arial"/>
    </x:font>
    <x:font>
      <x:b/>
      <x:sz val="11"/>
      <x:color indexed="10"/>
      <x:name val="Arial"/>
    </x:font>
    <x:font>
      <x:b/>
      <x:sz val="11"/>
      <x:color indexed="17"/>
      <x:name val="Arial"/>
    </x:font>
    <x:font>
      <x:b/>
      <x:sz val="11"/>
      <x:color rgb="FFFF0000"/>
      <x:name val="Arial"/>
    </x:font>
    <x:font>
      <x:sz val="11"/>
      <x:name val="Arial"/>
    </x:font>
    <x:font>
      <x:b/>
      <x:sz val="10"/>
      <x:name val="Arial"/>
    </x:font>
    <x:font>
      <x:sz val="10"/>
      <x:name val="Arial"/>
    </x:font>
    <x:font>
      <x:b/>
      <x:sz val="9"/>
      <x:color indexed="10"/>
      <x:name val="Arial"/>
    </x:font>
    <x:font>
      <x:b/>
      <x:sz val="10"/>
      <x:color indexed="17"/>
      <x:name val="Arial"/>
    </x:font>
    <x:font>
      <x:sz val="10"/>
      <x:color theme="1"/>
      <x:name val="Arial"/>
    </x:font>
    <x:font>
      <x:sz val="10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indexed="22"/>
      </x:patternFill>
    </x:fill>
    <x:fill>
      <x:patternFill patternType="solid">
        <x:fgColor indexed="22"/>
      </x:patternFill>
    </x:fill>
    <x:fill>
      <x:patternFill patternType="solid">
        <x:fgColor theme="0" tint="-0.24998"/>
      </x:patternFill>
    </x:fill>
    <x:fill>
      <x:patternFill patternType="solid">
        <x:fgColor theme="0"/>
      </x:patternFill>
    </x:fill>
    <x:fill>
      <x:patternFill patternType="solid">
        <x:fgColor theme="3" tint="0.59999"/>
      </x:patternFill>
    </x:fill>
    <x:fill>
      <x:patternFill patternType="solid">
        <x:fgColor theme="1"/>
      </x:patternFill>
    </x:fill>
    <x:fill>
      <x:patternFill patternType="solid">
        <x:fgColor rgb="FFFFFF00"/>
      </x:patternFill>
    </x:fill>
  </x:fills>
  <x:borders count="10">
    <x:border/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</x:border>
  </x:borders>
  <x:cellStyleXfs count="4">
    <x:xf numFmtId="0" fontId="0" fillId="0" borderId="0"/>
    <x:xf numFmtId="44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43" fontId="14" fillId="0" borderId="0" applyFont="0" applyFill="0" applyBorder="0" applyAlignment="0" applyProtection="0"/>
  </x:cellStyleXfs>
  <x:cellXfs count="177">
    <x:xf numFmtId="0" fontId="0" fillId="0" borderId="0" xfId="0"/>
    <x:xf numFmtId="0" fontId="6" fillId="0" borderId="0" xfId="0" applyFont="1" applyAlignment="1">
      <x:alignment horizontal="center" wrapText="1"/>
    </x:xf>
    <x:xf numFmtId="0" fontId="0" fillId="0" borderId="2" xfId="0" applyBorder="1"/>
    <x:xf numFmtId="0" fontId="6" fillId="2" borderId="0" xfId="0" applyFont="1" applyFill="1"/>
    <x:xf numFmtId="165" fontId="0" fillId="0" borderId="0" xfId="0" applyNumberFormat="1"/>
    <x:xf numFmtId="0" fontId="6" fillId="0" borderId="0" xfId="0" applyFont="1" applyAlignment="1">
      <x:alignment horizontal="center"/>
    </x:xf>
    <x:xf numFmtId="8" fontId="0" fillId="0" borderId="0" xfId="0" applyNumberFormat="1"/>
    <x:xf numFmtId="0" fontId="2" fillId="0" borderId="0" xfId="0" applyFont="1" applyAlignment="1">
      <x:alignment horizontal="left" vertical="center"/>
    </x:xf>
    <x:xf numFmtId="0" fontId="0" fillId="0" borderId="2" xfId="0" applyBorder="1" applyAlignment="1">
      <x:alignment horizontal="left"/>
    </x:xf>
    <x:xf numFmtId="44" fontId="0" fillId="0" borderId="2" xfId="1" applyFont="1" applyBorder="1"/>
    <x:xf numFmtId="0" fontId="0" fillId="8" borderId="2" xfId="0" applyFill="1" applyBorder="1"/>
    <x:xf numFmtId="44" fontId="0" fillId="5" borderId="2" xfId="1" applyFont="1" applyFill="1" applyBorder="1"/>
    <x:xf numFmtId="0" fontId="0" fillId="5" borderId="2" xfId="0" applyFill="1" applyBorder="1"/>
    <x:xf numFmtId="0" fontId="7" fillId="0" borderId="0" xfId="1" applyNumberFormat="1" applyFont="1" applyFill="1" applyBorder="1" applyAlignment="1">
      <x:alignment horizontal="right" vertical="center"/>
    </x:xf>
    <x:xf numFmtId="0" fontId="7" fillId="0" borderId="0" xfId="0" applyFont="1" applyAlignment="1">
      <x:alignment horizontal="right" vertical="center"/>
    </x:xf>
    <x:xf numFmtId="0" fontId="7" fillId="0" borderId="0" xfId="0" applyFont="1" applyAlignment="1">
      <x:alignment horizontal="center" vertical="center"/>
    </x:xf>
    <x:xf numFmtId="2" fontId="7" fillId="0" borderId="0" xfId="0" applyNumberFormat="1" applyFont="1" applyAlignment="1">
      <x:alignment horizontal="right" vertical="center"/>
    </x:xf>
    <x:xf numFmtId="0" fontId="3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vertical="center"/>
    </x:xf>
    <x:xf numFmtId="14" fontId="0" fillId="2" borderId="0" xfId="0" applyNumberFormat="1" applyFill="1" applyAlignment="1">
      <x:alignment horizontal="left" vertical="center"/>
    </x:xf>
    <x:xf numFmtId="0" fontId="3" fillId="2" borderId="0" xfId="0" applyFont="1" applyFill="1" applyAlignment="1">
      <x:alignment horizontal="centerContinuous" vertical="center"/>
    </x:xf>
    <x:xf numFmtId="0" fontId="3" fillId="2" borderId="0" xfId="0" applyFont="1" applyFill="1" applyAlignment="1">
      <x:alignment vertical="center"/>
    </x:xf>
    <x:xf numFmtId="0" fontId="3" fillId="2" borderId="0" xfId="0" applyFont="1" applyFill="1" applyAlignment="1">
      <x:alignment horizontal="left" vertical="center"/>
    </x:xf>
    <x:xf numFmtId="0" fontId="0" fillId="2" borderId="0" xfId="0" applyFill="1" applyAlignment="1">
      <x:alignment horizontal="left" vertical="center"/>
    </x:xf>
    <x:xf numFmtId="0" fontId="3" fillId="5" borderId="0" xfId="0" applyFont="1" applyFill="1" applyAlignment="1">
      <x:alignment vertical="center"/>
    </x:xf>
    <x:xf numFmtId="0" fontId="2" fillId="2" borderId="0" xfId="0" applyFont="1" applyFill="1" applyAlignment="1">
      <x:alignment horizontal="left" vertical="center"/>
    </x:xf>
    <x:xf numFmtId="49" fontId="0" fillId="2" borderId="0" xfId="0" applyNumberFormat="1" applyFill="1" applyAlignment="1">
      <x:alignment horizontal="left" vertical="center"/>
    </x:xf>
    <x:xf numFmtId="0" fontId="0" fillId="0" borderId="0" xfId="0" applyAlignment="1">
      <x:alignment horizontal="left" vertical="center"/>
    </x:xf>
    <x:xf numFmtId="8" fontId="0" fillId="0" borderId="0" xfId="0" applyNumberFormat="1" applyAlignment="1">
      <x:alignment vertical="center"/>
    </x:xf>
    <x:xf numFmtId="0" fontId="3" fillId="0" borderId="0" xfId="0" applyFont="1" applyAlignment="1">
      <x:alignment horizontal="right" vertical="center"/>
    </x:xf>
    <x:xf numFmtId="0" fontId="3" fillId="0" borderId="0" xfId="0" applyFont="1" applyAlignment="1">
      <x:alignment horizontal="centerContinuous" vertical="center"/>
    </x:xf>
    <x:xf numFmtId="3" fontId="3" fillId="3" borderId="0" xfId="0" applyNumberFormat="1" applyFont="1" applyFill="1" applyAlignment="1">
      <x:alignment horizontal="right" vertical="center"/>
    </x:xf>
    <x:xf numFmtId="0" fontId="3" fillId="0" borderId="0" xfId="0" applyFont="1" applyAlignment="1">
      <x:alignment horizontal="fill" vertical="center"/>
    </x:xf>
    <x:xf numFmtId="0" fontId="3" fillId="0" borderId="0" xfId="0" applyFont="1" applyAlignment="1">
      <x:alignment horizontal="left" vertical="center"/>
    </x:xf>
    <x:xf numFmtId="0" fontId="3" fillId="5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7" fontId="3" fillId="4" borderId="0" xfId="0" applyNumberFormat="1" applyFont="1" applyFill="1" applyAlignment="1">
      <x:alignment horizontal="right" vertical="center"/>
    </x:xf>
    <x:xf numFmtId="4" fontId="3" fillId="0" borderId="0" xfId="0" applyNumberFormat="1" applyFont="1" applyAlignment="1">
      <x:alignment horizontal="right" vertical="center"/>
    </x:xf>
    <x:xf numFmtId="0" fontId="3" fillId="0" borderId="0" xfId="0" applyFont="1" applyAlignment="1">
      <x:alignment horizontal="center" vertical="center"/>
    </x:xf>
    <x:xf numFmtId="7" fontId="3" fillId="0" borderId="0" xfId="0" applyNumberFormat="1" applyFont="1" applyAlignment="1">
      <x:alignment horizontal="right" vertical="center"/>
    </x:xf>
    <x:xf numFmtId="4" fontId="3" fillId="0" borderId="0" xfId="0" applyNumberFormat="1" applyFont="1" applyAlignment="1">
      <x:alignment vertical="center"/>
    </x:xf>
    <x:xf numFmtId="3" fontId="3" fillId="2" borderId="7" xfId="0" applyNumberFormat="1" applyFont="1" applyFill="1" applyBorder="1" applyAlignment="1">
      <x:alignment horizontal="center" vertical="center"/>
    </x:xf>
    <x:xf numFmtId="2" fontId="3" fillId="2" borderId="8" xfId="0" applyNumberFormat="1" applyFont="1" applyFill="1" applyBorder="1" applyAlignment="1">
      <x:alignment horizontal="center" vertical="center"/>
    </x:xf>
    <x:xf numFmtId="7" fontId="3" fillId="2" borderId="8" xfId="0" applyNumberFormat="1" applyFont="1" applyFill="1" applyBorder="1" applyAlignment="1">
      <x:alignment horizontal="right" vertical="center"/>
    </x:xf>
    <x:xf numFmtId="0" fontId="3" fillId="5" borderId="0" xfId="0" applyFont="1" applyFill="1" applyAlignment="1">
      <x:alignment horizontal="right" vertical="center"/>
    </x:xf>
    <x:xf numFmtId="7" fontId="3" fillId="2" borderId="0" xfId="0" applyNumberFormat="1" applyFont="1" applyFill="1" applyAlignment="1">
      <x:alignment horizontal="right" vertical="center"/>
    </x:xf>
    <x:xf numFmtId="3" fontId="3" fillId="0" borderId="0" xfId="0" applyNumberFormat="1" applyFont="1" applyAlignment="1">
      <x:alignment horizontal="center" vertical="center"/>
    </x:xf>
    <x:xf numFmtId="2" fontId="3" fillId="0" borderId="0" xfId="0" applyNumberFormat="1" applyFont="1" applyAlignment="1">
      <x:alignment horizontal="center" vertical="center"/>
    </x:xf>
    <x:xf numFmtId="2" fontId="3" fillId="2" borderId="0" xfId="0" applyNumberFormat="1" applyFont="1" applyFill="1" applyAlignment="1">
      <x:alignment horizontal="center" vertical="center"/>
    </x:xf>
    <x:xf numFmtId="3" fontId="3" fillId="0" borderId="0" xfId="0" applyNumberFormat="1" applyFont="1" applyAlignment="1">
      <x:alignment vertical="center"/>
    </x:xf>
    <x:xf numFmtId="2" fontId="3" fillId="0" borderId="0" xfId="0" applyNumberFormat="1" applyFont="1" applyAlignment="1">
      <x:alignment horizontal="right" vertical="center"/>
    </x:xf>
    <x:xf numFmtId="3" fontId="3" fillId="2" borderId="0" xfId="0" applyNumberFormat="1" applyFont="1" applyFill="1" applyAlignment="1">
      <x:alignment horizontal="center" vertical="center"/>
    </x:xf>
    <x:xf numFmtId="1" fontId="3" fillId="0" borderId="0" xfId="0" applyNumberFormat="1" applyFont="1" applyAlignment="1">
      <x:alignment horizontal="right" vertical="center"/>
    </x:xf>
    <x:xf numFmtId="0" fontId="3" fillId="2" borderId="7" xfId="0" applyFont="1" applyFill="1" applyBorder="1" applyAlignment="1">
      <x:alignment horizontal="left" vertical="center"/>
    </x:xf>
    <x:xf numFmtId="3" fontId="3" fillId="2" borderId="0" xfId="0" applyNumberFormat="1" applyFont="1" applyFill="1" applyAlignment="1">
      <x:alignment horizontal="right" vertical="center"/>
    </x:xf>
    <x:xf numFmtId="0" fontId="0" fillId="2" borderId="7" xfId="0" applyFill="1" applyBorder="1" applyAlignment="1">
      <x:alignment horizontal="left" vertical="center"/>
    </x:xf>
    <x:xf numFmtId="3" fontId="3" fillId="0" borderId="0" xfId="0" applyNumberFormat="1" applyFont="1" applyAlignment="1">
      <x:alignment horizontal="right" vertical="center"/>
    </x:xf>
    <x:xf numFmtId="0" fontId="3" fillId="5" borderId="7" xfId="0" applyFont="1" applyFill="1" applyBorder="1" applyAlignment="1">
      <x:alignment horizontal="right" vertical="center"/>
    </x:xf>
    <x:xf numFmtId="0" fontId="8" fillId="0" borderId="0" xfId="0" applyFont="1" applyAlignment="1">
      <x:alignment vertical="center"/>
    </x:xf>
    <x:xf numFmtId="0" fontId="9" fillId="0" borderId="0" xfId="0" applyFont="1" applyAlignment="1">
      <x:alignment horizontal="right" vertical="center"/>
    </x:xf>
    <x:xf numFmtId="165" fontId="9" fillId="0" borderId="0" xfId="0" applyNumberFormat="1" applyFont="1" applyAlignment="1">
      <x:alignment vertical="center"/>
    </x:xf>
    <x:xf numFmtId="0" fontId="2" fillId="0" borderId="1" xfId="0" applyFont="1" applyBorder="1" applyAlignment="1">
      <x:alignment horizontal="center" vertical="center" wrapText="1"/>
    </x:xf>
    <x:xf numFmtId="2" fontId="3" fillId="2" borderId="7" xfId="0" applyNumberFormat="1" applyFont="1" applyFill="1" applyBorder="1" applyAlignment="1">
      <x:alignment horizontal="center" vertical="center"/>
    </x:xf>
    <x:xf numFmtId="0" fontId="3" fillId="6" borderId="0" xfId="1" applyNumberFormat="1" applyFont="1" applyFill="1" applyBorder="1" applyAlignment="1">
      <x:alignment horizontal="right" vertical="center"/>
    </x:xf>
    <x:xf numFmtId="165" fontId="3" fillId="5" borderId="7" xfId="1" applyNumberFormat="1" applyFont="1" applyFill="1" applyBorder="1" applyAlignment="1">
      <x:alignment vertical="center"/>
    </x:xf>
    <x:xf numFmtId="165" fontId="3" fillId="2" borderId="0" xfId="1" applyNumberFormat="1" applyFont="1" applyFill="1" applyBorder="1" applyAlignment="1">
      <x:alignment horizontal="right" vertical="center"/>
    </x:xf>
    <x:xf numFmtId="165" fontId="3" fillId="6" borderId="0" xfId="1" applyNumberFormat="1" applyFont="1" applyFill="1" applyBorder="1" applyAlignment="1">
      <x:alignment vertical="center"/>
    </x:xf>
    <x:xf numFmtId="2" fontId="3" fillId="0" borderId="0" xfId="0" applyNumberFormat="1" applyFont="1" applyAlignment="1">
      <x:alignment vertical="center"/>
    </x:xf>
    <x:xf numFmtId="165" fontId="3" fillId="0" borderId="0" xfId="1" applyNumberFormat="1" applyFont="1" applyFill="1" applyBorder="1" applyAlignment="1">
      <x:alignment vertical="center"/>
    </x:xf>
    <x:xf numFmtId="44" fontId="3" fillId="0" borderId="0" xfId="1" applyFont="1" applyFill="1" applyBorder="1" applyAlignment="1">
      <x:alignment vertical="center"/>
    </x:xf>
    <x:xf numFmtId="0" fontId="3" fillId="0" borderId="0" xfId="0" applyFont="1" applyAlignment="1">
      <x:alignment vertical="center"/>
    </x:xf>
    <x:xf numFmtId="4" fontId="3" fillId="2" borderId="7" xfId="0" applyNumberFormat="1" applyFont="1" applyFill="1" applyBorder="1" applyAlignment="1">
      <x:alignment horizontal="center" vertical="center"/>
    </x:xf>
    <x:xf numFmtId="165" fontId="3" fillId="5" borderId="0" xfId="1" applyNumberFormat="1" applyFont="1" applyFill="1" applyBorder="1" applyAlignment="1">
      <x:alignment horizontal="right" vertical="center"/>
    </x:xf>
    <x:xf numFmtId="0" fontId="11" fillId="0" borderId="0" xfId="0" applyFont="1" applyAlignment="1">
      <x:alignment horizontal="right" vertical="center"/>
    </x:xf>
    <x:xf numFmtId="2" fontId="3" fillId="0" borderId="0" xfId="0" applyNumberFormat="1" applyFont="1" applyAlignment="1">
      <x:alignment vertical="center"/>
    </x:xf>
    <x:xf numFmtId="1" fontId="3" fillId="2" borderId="8" xfId="0" applyNumberFormat="1" applyFont="1" applyFill="1" applyBorder="1" applyAlignment="1">
      <x:alignment horizontal="center" vertical="center"/>
    </x:xf>
    <x:xf numFmtId="0" fontId="0" fillId="2" borderId="8" xfId="0" applyFill="1" applyBorder="1" applyAlignment="1">
      <x:alignment horizontal="center" vertical="center"/>
    </x:xf>
    <x:xf numFmtId="1" fontId="3" fillId="2" borderId="8" xfId="0" applyNumberFormat="1" applyFont="1" applyFill="1" applyBorder="1" applyAlignment="1">
      <x:alignment horizontal="right" vertical="center"/>
    </x:xf>
    <x:xf numFmtId="165" fontId="3" fillId="2" borderId="0" xfId="0" applyNumberFormat="1" applyFont="1" applyFill="1" applyAlignment="1">
      <x:alignment horizontal="right" vertical="center"/>
    </x:xf>
    <x:xf numFmtId="5" fontId="3" fillId="2" borderId="0" xfId="0" applyNumberFormat="1" applyFont="1" applyFill="1" applyAlignment="1">
      <x:alignment horizontal="center" vertical="center"/>
    </x:xf>
    <x:xf numFmtId="0" fontId="3" fillId="0" borderId="1" xfId="0" applyFont="1" applyBorder="1" applyAlignment="1">
      <x:alignment vertical="center"/>
    </x:xf>
    <x:xf numFmtId="0" fontId="10" fillId="0" borderId="0" xfId="0" applyFont="1" applyAlignment="1">
      <x:alignment vertical="center"/>
    </x:xf>
    <x:xf numFmtId="0" fontId="0" fillId="0" borderId="0" xfId="0" applyAlignment="1">
      <x:alignment vertical="center"/>
    </x:xf>
    <x:xf numFmtId="44" fontId="0" fillId="5" borderId="1" xfId="1" applyFont="1" applyFill="1" applyBorder="1" applyAlignment="1">
      <x:alignment vertical="center"/>
    </x:xf>
    <x:xf numFmtId="44" fontId="3" fillId="5" borderId="5" xfId="1" applyFont="1" applyFill="1" applyBorder="1" applyAlignment="1">
      <x:alignment vertical="center"/>
    </x:xf>
    <x:xf numFmtId="44" fontId="0" fillId="0" borderId="0" xfId="1" applyFont="1" applyFill="1"/>
    <x:xf numFmtId="0" fontId="2" fillId="0" borderId="0" xfId="0" applyFont="1" applyAlignment="1">
      <x:alignment vertical="center"/>
    </x:xf>
    <x:xf numFmtId="9" fontId="12" fillId="5" borderId="0" xfId="2" applyFont="1" applyFill="1" applyBorder="1" applyAlignment="1">
      <x:alignment horizontal="right" vertical="center"/>
    </x:xf>
    <x:xf numFmtId="165" fontId="3" fillId="0" borderId="0" xfId="1" applyNumberFormat="1" applyFont="1" applyFill="1" applyBorder="1" applyAlignment="1">
      <x:alignment vertical="center"/>
    </x:xf>
    <x:xf numFmtId="44" fontId="3" fillId="5" borderId="1" xfId="1" applyFont="1" applyFill="1" applyBorder="1" applyAlignment="1">
      <x:alignment vertical="center"/>
    </x:xf>
    <x:xf numFmtId="0" fontId="2" fillId="0" borderId="0" xfId="0" applyFont="1" applyAlignment="1">
      <x:alignment horizontal="center" vertical="center"/>
    </x:xf>
    <x:xf numFmtId="0" fontId="13" fillId="0" borderId="0" xfId="0" applyFont="1"/>
    <x:xf numFmtId="0" fontId="3" fillId="0" borderId="0" xfId="0" applyFont="1"/>
    <x:xf numFmtId="0" fontId="13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44" fontId="0" fillId="0" borderId="0" xfId="0" applyNumberFormat="1"/>
    <x:xf numFmtId="0" fontId="0" fillId="0" borderId="0" xfId="0" applyAlignment="1">
      <x:alignment horizontal="right"/>
    </x:xf>
    <x:xf numFmtId="0" fontId="3" fillId="6" borderId="0" xfId="1" applyNumberFormat="1" applyFont="1" applyFill="1" applyBorder="1" applyAlignment="1">
      <x:alignment horizontal="center" vertical="center"/>
    </x:xf>
    <x:xf numFmtId="7" fontId="3" fillId="2" borderId="0" xfId="0" applyNumberFormat="1" applyFont="1" applyFill="1" applyAlignment="1">
      <x:alignment horizontal="center" vertical="center"/>
    </x:xf>
    <x:xf numFmtId="44" fontId="3" fillId="0" borderId="0" xfId="0" applyNumberFormat="1" applyFont="1" applyAlignment="1">
      <x:alignment horizontal="center" vertical="center"/>
    </x:xf>
    <x:xf numFmtId="1" fontId="3" fillId="6" borderId="0" xfId="0" applyNumberFormat="1" applyFont="1" applyFill="1" applyAlignment="1">
      <x:alignment horizontal="right" vertical="center"/>
    </x:xf>
    <x:xf numFmtId="0" fontId="0" fillId="5" borderId="9" xfId="0" applyFill="1" applyBorder="1"/>
    <x:xf numFmtId="0" fontId="0" fillId="5" borderId="0" xfId="0" applyFill="1"/>
    <x:xf numFmtId="0" fontId="2" fillId="0" borderId="0" xfId="0" applyFont="1"/>
    <x:xf numFmtId="0" fontId="3" fillId="5" borderId="9" xfId="0" applyFont="1" applyFill="1" applyBorder="1" applyAlignment="1">
      <x:alignment horizontal="right" vertical="center"/>
    </x:xf>
    <x:xf numFmtId="165" fontId="2" fillId="0" borderId="0" xfId="0" applyNumberFormat="1" applyFont="1" applyAlignment="1">
      <x:alignment horizontal="center"/>
    </x:xf>
    <x:xf numFmtId="165" fontId="0" fillId="9" borderId="0" xfId="0" applyNumberFormat="1" applyFill="1"/>
    <x:xf numFmtId="0" fontId="3" fillId="5" borderId="7" xfId="0" applyFont="1" applyFill="1" applyBorder="1" applyAlignment="1">
      <x:alignment vertical="center"/>
    </x:xf>
    <x:xf numFmtId="2" fontId="3" fillId="5" borderId="9" xfId="0" applyNumberFormat="1" applyFont="1" applyFill="1" applyBorder="1" applyAlignment="1">
      <x:alignment horizontal="center" vertical="center"/>
    </x:xf>
    <x:xf numFmtId="8" fontId="0" fillId="9" borderId="0" xfId="0" applyNumberFormat="1" applyFill="1"/>
    <x:xf numFmtId="0" fontId="3" fillId="5" borderId="0" xfId="0" applyFont="1" applyFill="1" applyAlignment="1">
      <x:alignment horizontal="right"/>
    </x:xf>
    <x:xf numFmtId="3" fontId="3" fillId="2" borderId="9" xfId="0" applyNumberFormat="1" applyFont="1" applyFill="1" applyBorder="1" applyAlignment="1">
      <x:alignment horizontal="center" vertical="center"/>
    </x:xf>
    <x:xf numFmtId="0" fontId="3" fillId="6" borderId="0" xfId="0" applyFont="1" applyFill="1" applyAlignment="1">
      <x:alignment horizontal="left" vertical="center"/>
    </x:xf>
    <x:xf numFmtId="0" fontId="2" fillId="0" borderId="0" xfId="0" applyFont="1" applyAlignment="1">
      <x:alignment horizontal="right" vertical="center"/>
    </x:xf>
    <x:xf numFmtId="0" fontId="0" fillId="0" borderId="0" xfId="0"/>
    <x:xf numFmtId="2" fontId="3" fillId="0" borderId="0" xfId="0" applyNumberFormat="1" applyFont="1" applyAlignment="1">
      <x:alignment horizontal="right" vertical="center"/>
    </x:xf>
    <x:xf numFmtId="2" fontId="3" fillId="2" borderId="9" xfId="0" applyNumberFormat="1" applyFont="1" applyFill="1" applyBorder="1" applyAlignment="1">
      <x:alignment horizontal="center" vertical="center"/>
    </x:xf>
    <x:xf numFmtId="165" fontId="0" fillId="6" borderId="0" xfId="0" applyNumberFormat="1" applyFill="1"/>
    <x:xf numFmtId="3" fontId="0" fillId="2" borderId="0" xfId="0" applyNumberFormat="1" applyFill="1" applyAlignment="1">
      <x:alignment horizontal="center" vertical="center"/>
    </x:xf>
    <x:xf numFmtId="4" fontId="3" fillId="2" borderId="0" xfId="0" applyNumberFormat="1" applyFont="1" applyFill="1" applyAlignment="1">
      <x:alignment horizontal="center" vertical="center"/>
    </x:xf>
    <x:xf numFmtId="1" fontId="3" fillId="2" borderId="0" xfId="0" applyNumberFormat="1" applyFont="1" applyFill="1" applyAlignment="1">
      <x:alignment horizontal="center" vertical="center"/>
    </x:xf>
    <x:xf numFmtId="165" fontId="3" fillId="2" borderId="9" xfId="0" applyNumberFormat="1" applyFont="1" applyFill="1" applyBorder="1" applyAlignment="1">
      <x:alignment horizontal="center" vertical="center"/>
    </x:xf>
    <x:xf numFmtId="165" fontId="3" fillId="5" borderId="0" xfId="0" applyNumberFormat="1" applyFont="1" applyFill="1" applyAlignment="1">
      <x:alignment horizontal="right" vertical="center"/>
    </x:xf>
    <x:xf numFmtId="165" fontId="3" fillId="5" borderId="0" xfId="0" applyNumberFormat="1" applyFont="1" applyFill="1" applyAlignment="1">
      <x:alignment vertical="center"/>
    </x:xf>
    <x:xf numFmtId="2" fontId="3" fillId="5" borderId="8" xfId="0" applyNumberFormat="1" applyFont="1" applyFill="1" applyBorder="1" applyAlignment="1">
      <x:alignment horizontal="center" vertical="center"/>
    </x:xf>
    <x:xf numFmtId="166" fontId="3" fillId="0" borderId="0" xfId="0" applyNumberFormat="1" applyFont="1" applyAlignment="1">
      <x:alignment horizontal="right"/>
    </x:xf>
    <x:xf numFmtId="3" fontId="3" fillId="5" borderId="0" xfId="3" applyNumberFormat="1" applyFont="1" applyFill="1" applyBorder="1" applyAlignment="1">
      <x:alignment horizontal="center" vertical="center"/>
    </x:xf>
    <x:xf numFmtId="3" fontId="3" fillId="0" borderId="0" xfId="3" applyNumberFormat="1" applyFont="1" applyFill="1" applyBorder="1" applyAlignment="1">
      <x:alignment horizontal="center" vertical="center"/>
    </x:xf>
    <x:xf numFmtId="165" fontId="3" fillId="5" borderId="9" xfId="0" applyNumberFormat="1" applyFont="1" applyFill="1" applyBorder="1" applyAlignment="1">
      <x:alignment vertical="center"/>
    </x:xf>
    <x:xf numFmtId="165" fontId="3" fillId="5" borderId="0" xfId="0" applyNumberFormat="1" applyFont="1" applyFill="1" applyAlignment="1">
      <x:alignment horizontal="center" vertical="center"/>
    </x:xf>
    <x:xf numFmtId="0" fontId="0" fillId="0" borderId="0" xfId="0" applyAlignment="1">
      <x:alignment horizontal="center" vertical="center"/>
    </x:xf>
    <x:xf numFmtId="165" fontId="3" fillId="0" borderId="0" xfId="1" applyNumberFormat="1" applyFont="1" applyFill="1" applyBorder="1" applyAlignment="1">
      <x:alignment horizontal="right" vertical="center"/>
    </x:xf>
    <x:xf numFmtId="44" fontId="15" fillId="0" borderId="0" xfId="1" applyFont="1" applyFill="1" applyBorder="1" applyAlignment="1">
      <x:alignment horizontal="right" vertical="center"/>
    </x:xf>
    <x:xf numFmtId="44" fontId="16" fillId="0" borderId="0" xfId="1" applyFont="1" applyFill="1" applyBorder="1" applyAlignment="1">
      <x:alignment horizontal="right" vertical="center"/>
    </x:xf>
    <x:xf numFmtId="3" fontId="2" fillId="0" borderId="0" xfId="3" applyNumberFormat="1" applyFont="1" applyFill="1" applyBorder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1" fontId="3" fillId="5" borderId="8" xfId="0" applyNumberFormat="1" applyFont="1" applyFill="1" applyBorder="1" applyAlignment="1">
      <x:alignment horizontal="center" vertical="center"/>
    </x:xf>
    <x:xf numFmtId="165" fontId="3" fillId="5" borderId="8" xfId="0" applyNumberFormat="1" applyFont="1" applyFill="1" applyBorder="1" applyAlignment="1">
      <x:alignment horizontal="center" vertical="center"/>
    </x:xf>
    <x:xf numFmtId="0" fontId="3" fillId="5" borderId="0" xfId="0" applyFont="1" applyFill="1" applyAlignment="1">
      <x:alignment horizontal="left" vertical="center"/>
    </x:xf>
    <x:xf numFmtId="7" fontId="3" fillId="5" borderId="0" xfId="0" applyNumberFormat="1" applyFont="1" applyFill="1" applyAlignment="1">
      <x:alignment horizontal="right" vertical="center"/>
    </x:xf>
    <x:xf numFmtId="1" fontId="3" fillId="5" borderId="0" xfId="0" applyNumberFormat="1" applyFont="1" applyFill="1" applyAlignment="1">
      <x:alignment horizontal="right" vertical="center"/>
    </x:xf>
    <x:xf numFmtId="2" fontId="3" fillId="0" borderId="0" xfId="0" applyNumberFormat="1" applyFont="1" applyAlignment="1">
      <x:alignment horizontal="right"/>
    </x:xf>
    <x:xf numFmtId="44" fontId="0" fillId="5" borderId="0" xfId="1" applyFont="1" applyFill="1" applyBorder="1" applyAlignment="1">
      <x:alignment vertical="center"/>
    </x:xf>
    <x:xf numFmtId="166" fontId="3" fillId="5" borderId="0" xfId="0" applyNumberFormat="1" applyFont="1" applyFill="1" applyAlignment="1">
      <x:alignment horizontal="right" vertical="center"/>
    </x:xf>
    <x:xf numFmtId="0" fontId="0" fillId="5" borderId="0" xfId="0" applyFill="1" applyAlignment="1">
      <x:alignment horizontal="center"/>
    </x:xf>
    <x:xf numFmtId="166" fontId="0" fillId="5" borderId="0" xfId="0" applyNumberFormat="1" applyFill="1" applyAlignment="1">
      <x:alignment horizontal="center"/>
    </x:xf>
    <x:xf numFmtId="166" fontId="0" fillId="0" borderId="0" xfId="0" applyNumberFormat="1" applyAlignment="1">
      <x:alignment horizontal="center"/>
    </x:xf>
    <x:xf numFmtId="165" fontId="0" fillId="5" borderId="0" xfId="0" applyNumberFormat="1" applyFill="1" applyAlignment="1">
      <x:alignment horizontal="center"/>
    </x:xf>
    <x:xf numFmtId="44" fontId="17" fillId="0" borderId="0" xfId="1" applyFont="1"/>
    <x:xf numFmtId="0" fontId="1" fillId="0" borderId="0" xfId="0" applyFont="1"/>
    <x:xf numFmtId="8" fontId="3" fillId="0" borderId="0" xfId="0" applyNumberFormat="1" applyFont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2" fontId="3" fillId="5" borderId="0" xfId="0" applyNumberFormat="1" applyFont="1" applyFill="1" applyAlignment="1">
      <x:alignment horizontal="center" vertical="center"/>
    </x:xf>
    <x:xf numFmtId="9" fontId="2" fillId="0" borderId="0" xfId="0" applyNumberFormat="1" applyFont="1" applyAlignment="1">
      <x:alignment horizontal="right" vertical="center"/>
    </x:xf>
    <x:xf numFmtId="0" fontId="9" fillId="0" borderId="0" xfId="0" applyFont="1" applyAlignment="1">
      <x:alignment horizontal="centerContinuous" vertical="center"/>
    </x:xf>
    <x:xf numFmtId="0" fontId="9" fillId="0" borderId="0" xfId="0" applyFont="1" applyAlignment="1">
      <x:alignment vertical="center"/>
    </x:xf>
    <x:xf numFmtId="4" fontId="9" fillId="0" borderId="0" xfId="0" applyNumberFormat="1" applyFont="1" applyAlignment="1">
      <x:alignment vertical="center"/>
    </x:xf>
    <x:xf numFmtId="0" fontId="2" fillId="0" borderId="1" xfId="0" applyFont="1" applyBorder="1" applyAlignment="1">
      <x:alignment vertical="center"/>
    </x:xf>
    <x:xf numFmtId="165" fontId="3" fillId="0" borderId="0" xfId="0" applyNumberFormat="1" applyFont="1" applyAlignment="1">
      <x:alignment vertical="center"/>
    </x:xf>
    <x:xf numFmtId="0" fontId="2" fillId="7" borderId="2" xfId="0" applyFont="1" applyFill="1" applyBorder="1" applyAlignment="1">
      <x:alignment horizontal="center" wrapText="1"/>
    </x:xf>
    <x:xf numFmtId="0" fontId="2" fillId="7" borderId="3" xfId="0" applyFont="1" applyFill="1" applyBorder="1" applyAlignment="1">
      <x:alignment horizontal="center" wrapText="1"/>
    </x:xf>
    <x:xf numFmtId="0" fontId="2" fillId="0" borderId="0" xfId="0" applyFont="1" applyAlignment="1">
      <x:alignment horizontal="center" wrapText="1"/>
    </x:xf>
    <x:xf numFmtId="0" fontId="2" fillId="7" borderId="2" xfId="0" applyFont="1" applyFill="1" applyBorder="1" applyAlignment="1">
      <x:alignment horizontal="center"/>
    </x:xf>
    <x:xf numFmtId="0" fontId="2" fillId="7" borderId="2" xfId="0" applyFont="1" applyFill="1" applyBorder="1"/>
    <x:xf numFmtId="164" fontId="2" fillId="7" borderId="2" xfId="0" applyNumberFormat="1" applyFont="1" applyFill="1" applyBorder="1"/>
    <x:xf numFmtId="0" fontId="2" fillId="2" borderId="0" xfId="0" applyFont="1" applyFill="1"/>
    <x:xf numFmtId="0" fontId="3" fillId="0" borderId="0" xfId="0" applyFont="1" applyAlignment="1">
      <x:alignment horizontal="right"/>
    </x:xf>
    <x:xf numFmtId="165" fontId="3" fillId="0" borderId="0" xfId="0" applyNumberFormat="1" applyFont="1" applyAlignment="1">
      <x:alignment horizontal="right"/>
    </x:xf>
    <x:xf numFmtId="8" fontId="3" fillId="0" borderId="0" xfId="0" applyNumberFormat="1" applyFont="1" applyAlignment="1">
      <x:alignment horizontal="right" vertical="center"/>
    </x:xf>
    <x:xf numFmtId="8" fontId="0" fillId="0" borderId="0" xfId="0" applyNumberFormat="1" applyAlignment="1">
      <x:alignment vertical="center"/>
    </x:xf>
    <x:xf numFmtId="0" fontId="18" fillId="0" borderId="0" xfId="0" applyFont="1" applyAlignment="1">
      <x:alignment vertical="center"/>
    </x:xf>
    <x:xf numFmtId="8" fontId="18" fillId="0" borderId="0" xfId="0" applyNumberFormat="1" applyFont="1" applyAlignment="1">
      <x:alignment horizontal="right" vertical="center"/>
    </x:xf>
    <x:xf numFmtId="0" fontId="3" fillId="2" borderId="0" xfId="0" applyFont="1" applyFill="1" applyAlignment="1">
      <x:alignment horizontal="left" vertical="center"/>
    </x:xf>
    <x:xf numFmtId="0" fontId="2" fillId="7" borderId="4" xfId="0" applyFont="1" applyFill="1" applyBorder="1" applyAlignment="1">
      <x:alignment horizontal="center" vertical="distributed"/>
    </x:xf>
    <x:xf numFmtId="0" fontId="2" fillId="7" borderId="5" xfId="0" applyFont="1" applyFill="1" applyBorder="1" applyAlignment="1">
      <x:alignment horizontal="center" vertical="distributed"/>
    </x:xf>
    <x:xf numFmtId="0" fontId="2" fillId="7" borderId="6" xfId="0" applyFont="1" applyFill="1" applyBorder="1" applyAlignment="1">
      <x:alignment horizontal="center" vertical="distributed"/>
    </x:xf>
  </x:cellXfs>
  <x:cellStyles count="4">
    <x:cellStyle name="Comma" xfId="3"/>
    <x:cellStyle name="Currency" xfId="1"/>
    <x:cellStyle name="Normal" xfId="0"/>
    <x:cellStyle name="Percent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cb72ec337c4621" /><Relationship Type="http://schemas.openxmlformats.org/officeDocument/2006/relationships/theme" Target="/xl/theme/theme1.xml" Id="Ra96b56ec5f6d48e8" /><Relationship Type="http://schemas.openxmlformats.org/officeDocument/2006/relationships/sharedStrings" Target="/xl/sharedStrings.xml" Id="R8f21f64ccdff4f87" /><Relationship Type="http://schemas.openxmlformats.org/officeDocument/2006/relationships/worksheet" Target="/xl/worksheets/sheet1.xml" Id="R43f69defcc8e4034" /><Relationship Type="http://schemas.openxmlformats.org/officeDocument/2006/relationships/worksheet" Target="/xl/worksheets/sheet2.xml" Id="R9fc2d3b101cc4063" /><Relationship Type="http://schemas.openxmlformats.org/officeDocument/2006/relationships/worksheet" Target="/xl/worksheets/sheet3.xml" Id="Rad64e084961c4bf0" /><Relationship Type="http://schemas.openxmlformats.org/officeDocument/2006/relationships/worksheet" Target="/xl/worksheets/sheet4.xml" Id="Rbe68ca0bba534018" /><Relationship Type="http://schemas.openxmlformats.org/officeDocument/2006/relationships/worksheet" Target="/xl/worksheets/sheet5.xml" Id="R9654dcd78e794dac" /><Relationship Type="http://schemas.openxmlformats.org/officeDocument/2006/relationships/worksheet" Target="/xl/worksheets/sheet6.xml" Id="Reabe0c53aac04ecc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0" defaultRowHeight="12"/>
  <x:cols>
    <x:col min="1" max="1" width="15.42578125" style="17" customWidth="1"/>
    <x:col min="2" max="2" width="15.7109375" style="17" customWidth="1"/>
    <x:col min="3" max="3" width="11.7109375" style="17" customWidth="1"/>
    <x:col min="4" max="4" width="10" style="17" customWidth="1"/>
    <x:col min="5" max="5" width="11.28515625" style="17" customWidth="1"/>
    <x:col min="6" max="6" width="15.140625" style="17" customWidth="1"/>
    <x:col min="7" max="7" width="10" style="17" customWidth="1"/>
    <x:col min="8" max="8" width="12.85546875" style="17" customWidth="1"/>
    <x:col min="9" max="9" width="9.5703125" style="17" customWidth="1"/>
    <x:col min="10" max="10" width="17.140625" style="17" hidden="1" customWidth="1"/>
    <x:col min="11" max="11" width="10" style="17" customWidth="0"/>
    <x:col min="12" max="12" width="10.28515625" style="17" customWidth="1"/>
    <x:col min="13" max="16384" width="10" style="17" customWidth="0"/>
  </x:cols>
  <x:sheetData>
    <x:row r="1" ht="12" customHeight="1">
      <x:c r="B1" s="7" t="s">
        <x:v>0</x:v>
      </x:c>
      <x:c r="C1" s="20"/>
      <x:c r="D1" s="21"/>
      <x:c r="E1" s="22"/>
      <x:c r="F1" s="7" t="s">
        <x:v>1</x:v>
      </x:c>
      <x:c r="G1" s="173"/>
      <x:c r="H1" s="173"/>
    </x:row>
    <x:row r="2" ht="12" customHeight="1">
      <x:c r="B2" s="7" t="s">
        <x:v>2</x:v>
      </x:c>
      <x:c r="C2" s="24"/>
      <x:c r="D2" s="21"/>
      <x:c r="E2" s="22"/>
      <x:c r="F2" s="7" t="s">
        <x:v>3</x:v>
      </x:c>
      <x:c r="G2" s="173"/>
      <x:c r="H2" s="173"/>
    </x:row>
    <x:row r="3" ht="12" customHeight="1">
      <x:c r="B3" s="7" t="s">
        <x:v>4</x:v>
      </x:c>
      <x:c r="C3" s="24"/>
      <x:c r="D3" s="21"/>
      <x:c r="E3" s="22"/>
      <x:c r="F3" s="7" t="s">
        <x:v>5</x:v>
      </x:c>
      <x:c r="G3" s="173"/>
      <x:c r="H3" s="173"/>
    </x:row>
    <x:row r="4" ht="12" customHeight="1">
      <x:c r="B4" s="7" t="s">
        <x:v>6</x:v>
      </x:c>
      <x:c r="C4" s="24"/>
      <x:c r="D4" s="21"/>
      <x:c r="E4" s="22"/>
      <x:c r="F4" s="7" t="s">
        <x:v>7</x:v>
      </x:c>
      <x:c r="G4" s="23"/>
      <x:c r="H4" s="23"/>
    </x:row>
    <x:row r="5" ht="12" customHeight="1">
      <x:c r="B5" s="7" t="s">
        <x:v>3</x:v>
      </x:c>
      <x:c r="C5" s="24"/>
      <x:c r="D5" s="22"/>
      <x:c r="E5" s="22"/>
      <x:c r="F5" s="7" t="s">
        <x:v>8</x:v>
      </x:c>
      <x:c r="G5" s="23"/>
      <x:c r="H5" s="23"/>
    </x:row>
    <x:row r="6" ht="12" customHeight="1">
      <x:c r="B6" s="7" t="s">
        <x:v>5</x:v>
      </x:c>
      <x:c r="C6" s="24"/>
      <x:c r="D6" s="21"/>
      <x:c r="E6" s="22"/>
      <x:c r="F6" s="7" t="s">
        <x:v>9</x:v>
      </x:c>
      <x:c r="G6" s="25"/>
      <x:c r="H6" s="25"/>
    </x:row>
    <x:row r="7" ht="12" customHeight="1">
      <x:c r="B7" s="7" t="s">
        <x:v>10</x:v>
      </x:c>
      <x:c r="C7" s="26"/>
      <x:c r="D7" s="21"/>
      <x:c r="E7" s="22"/>
    </x:row>
    <x:row r="8" ht="12" customHeight="1">
      <x:c r="B8" s="7" t="s">
        <x:v>7</x:v>
      </x:c>
      <x:c r="C8" s="27"/>
      <x:c r="D8" s="23"/>
      <x:c r="E8" s="22"/>
      <x:c r="F8" s="28"/>
    </x:row>
    <x:row r="9" ht="12" customHeight="1">
      <x:c r="B9" s="7" t="s">
        <x:v>8</x:v>
      </x:c>
      <x:c r="C9" s="27"/>
      <x:c r="D9" s="21"/>
      <x:c r="E9" s="22"/>
      <x:c r="F9" s="29"/>
    </x:row>
    <x:row r="11" ht="12" customHeight="1">
      <x:c r="A11" s="87" t="s">
        <x:v>11</x:v>
      </x:c>
      <x:c r="D11" s="39">
        <x:v>1.1000000000000001</x:v>
      </x:c>
      <x:c r="E11" s="39">
        <x:v>1.2</x:v>
      </x:c>
      <x:c r="F11" s="131">
        <x:v>1.3</x:v>
      </x:c>
    </x:row>
    <x:row r="12" ht="12" customHeight="1">
      <x:c r="A12" s="87" t="s">
        <x:v>12</x:v>
      </x:c>
      <x:c r="C12" s="32"/>
      <x:c r="D12" s="39" t="n">
        <x:f>C12*D11</x:f>
        <x:v>0</x:v>
      </x:c>
      <x:c r="E12" s="39" t="n">
        <x:f>C12*E11</x:f>
        <x:v>0</x:v>
      </x:c>
      <x:c r="F12" s="39" t="n">
        <x:f>C12*F11</x:f>
        <x:v>0</x:v>
      </x:c>
    </x:row>
    <x:row r="13" ht="12" customHeight="1">
      <x:c r="A13" s="33" t="s">
        <x:v>13</x:v>
      </x:c>
      <x:c r="B13" s="33"/>
      <x:c r="C13" s="34"/>
      <x:c r="D13" s="34"/>
      <x:c r="E13" s="34"/>
      <x:c r="F13" s="34"/>
      <x:c r="G13" s="34"/>
      <x:c r="H13" s="34"/>
    </x:row>
    <x:row r="14" ht="12" customHeight="1">
      <x:c r="B14" s="152" t="s">
        <x:v>14</x:v>
      </x:c>
      <x:c r="C14" s="152" t="s">
        <x:v>15</x:v>
      </x:c>
      <x:c r="D14" s="152"/>
      <x:c r="E14" s="152" t="s">
        <x:v>16</x:v>
      </x:c>
      <x:c r="F14" s="152"/>
      <x:c r="G14" s="152" t="s">
        <x:v>17</x:v>
      </x:c>
      <x:c r="H14" s="152" t="s">
        <x:v>18</x:v>
      </x:c>
    </x:row>
    <x:row r="15" ht="12" customHeight="1">
      <x:c r="B15" s="91"/>
      <x:c r="C15" s="91"/>
      <x:c r="D15" s="91"/>
      <x:c r="E15" s="91"/>
      <x:c r="F15" s="91"/>
      <x:c r="G15" s="91"/>
      <x:c r="H15" s="91"/>
    </x:row>
    <x:row r="16" ht="12" customHeight="1">
      <x:c r="A16" s="87" t="s">
        <x:v>19</x:v>
      </x:c>
      <x:c r="B16" s="91" t="s">
        <x:v>20</x:v>
      </x:c>
      <x:c r="C16" s="7" t="s">
        <x:v>21</x:v>
      </x:c>
      <x:c r="E16" s="40"/>
      <x:c r="F16" s="34"/>
      <x:c r="G16" s="38"/>
      <x:c r="H16" s="38"/>
    </x:row>
    <x:row r="17" ht="12" customHeight="1">
      <x:c r="A17" s="87"/>
      <x:c r="B17" s="91" t="s">
        <x:v>22</x:v>
      </x:c>
      <x:c r="C17" s="7" t="s">
        <x:v>23</x:v>
      </x:c>
      <x:c r="E17" s="40"/>
      <x:c r="F17" s="34"/>
      <x:c r="G17" s="38"/>
      <x:c r="H17" s="38"/>
    </x:row>
    <x:row r="18" ht="12" customHeight="1">
      <x:c r="D18" s="7" t="s">
        <x:v>24</x:v>
      </x:c>
      <x:c r="E18" s="30"/>
      <x:c r="F18" s="91" t="s">
        <x:v>25</x:v>
      </x:c>
      <x:c r="G18" s="41"/>
      <x:c r="H18" s="41"/>
    </x:row>
    <x:row r="19" ht="12" customHeight="1">
      <x:c r="A19" s="35">
        <x:v>11</x:v>
      </x:c>
      <x:c r="B19" s="34" t="str">
        <x:f>IF(A19=11,"Gaco Roof 2.7",IF(A19=21,"BASF Roof 2.7",""))</x:f>
        <x:v>Gaco Roof 2.7</x:v>
      </x:c>
      <x:c r="C19" s="42"/>
      <x:c r="D19" s="43"/>
      <x:c r="E19" s="44">
        <x:v>2.25</x:v>
      </x:c>
      <x:c r="F19" s="45">
        <x:v>2900</x:v>
      </x:c>
      <x:c r="G19" s="38" t="n">
        <x:f>((C19/F19)*D19)*1000</x:f>
        <x:v>0</x:v>
      </x:c>
      <x:c r="H19" s="38" t="n">
        <x:f>E19*G19</x:f>
        <x:v>0</x:v>
      </x:c>
    </x:row>
    <x:row r="20" ht="12" customHeight="1">
      <x:c r="A20" s="35">
        <x:v>11</x:v>
      </x:c>
      <x:c r="B20" s="34" t="str">
        <x:f t="shared" ref="B20:B21" si="0">IF(A20=11,"Gaco Roof 2.7",IF(A20=21,"BASF Roof 2.7",""))</x:f>
        <x:v>Gaco Roof 2.7</x:v>
      </x:c>
      <x:c r="C20" s="42"/>
      <x:c r="D20" s="43"/>
      <x:c r="E20" s="44">
        <x:v>2.25</x:v>
      </x:c>
      <x:c r="F20" s="45">
        <x:v>2900</x:v>
      </x:c>
      <x:c r="G20" s="38" t="n">
        <x:f>((C20/F20)*D20)*1000</x:f>
        <x:v>0</x:v>
      </x:c>
      <x:c r="H20" s="38" t="n">
        <x:f>E20*G20</x:f>
        <x:v>0</x:v>
      </x:c>
    </x:row>
    <x:row r="21" ht="12" customHeight="1">
      <x:c r="A21" s="35">
        <x:v>11</x:v>
      </x:c>
      <x:c r="B21" s="34" t="str">
        <x:f t="shared" si="0"/>
        <x:v>Gaco Roof 2.7</x:v>
      </x:c>
      <x:c r="C21" s="42"/>
      <x:c r="D21" s="43"/>
      <x:c r="E21" s="44">
        <x:v>2.25</x:v>
      </x:c>
      <x:c r="F21" s="45">
        <x:v>2900</x:v>
      </x:c>
      <x:c r="G21" s="38" t="n">
        <x:f>((C21/F21)*D21)*1000</x:f>
        <x:v>0</x:v>
      </x:c>
      <x:c r="H21" s="38" t="n">
        <x:f>E21*G21</x:f>
        <x:v>0</x:v>
      </x:c>
      <x:c r="I21" s="91"/>
    </x:row>
    <x:row r="22" ht="12" customHeight="1">
      <x:c r="C22" s="39"/>
      <x:c r="D22" s="39"/>
    </x:row>
    <x:row r="23" ht="12" customHeight="1">
      <x:c r="A23" s="87" t="s">
        <x:v>26</x:v>
      </x:c>
      <x:c r="B23" s="91" t="s">
        <x:v>20</x:v>
      </x:c>
      <x:c r="C23" s="7" t="s">
        <x:v>27</x:v>
      </x:c>
      <x:c r="D23" s="39"/>
    </x:row>
    <x:row r="24" ht="12" customHeight="1">
      <x:c r="B24" s="91" t="s">
        <x:v>22</x:v>
      </x:c>
      <x:c r="C24" s="87" t="s">
        <x:v>28</x:v>
      </x:c>
      <x:c r="D24" s="87"/>
      <x:c r="E24" s="87"/>
      <x:c r="F24" s="87"/>
    </x:row>
    <x:row r="25" ht="12" customHeight="1">
      <x:c r="A25" s="114"/>
      <x:c r="C25" s="91"/>
      <x:c r="D25" s="91" t="s">
        <x:v>29</x:v>
      </x:c>
    </x:row>
    <x:row r="26" ht="12" customHeight="1">
      <x:c r="A26" s="36">
        <x:v>11</x:v>
      </x:c>
      <x:c r="B26" s="34" t="s">
        <x:v>30</x:v>
      </x:c>
      <x:c r="C26" s="42"/>
      <x:c r="D26" s="43"/>
      <x:c r="E26" s="46">
        <x:v>40.5</x:v>
      </x:c>
      <x:c r="F26" s="34">
        <x:v>707</x:v>
      </x:c>
      <x:c r="G26" s="38" t="n">
        <x:f>(((C26/100)*D26))*(1+($A$30/100))</x:f>
        <x:v>0</x:v>
      </x:c>
      <x:c r="H26" s="38" t="n">
        <x:f>E26*G26</x:f>
        <x:v>0</x:v>
      </x:c>
    </x:row>
    <x:row r="27" ht="12" customHeight="1">
      <x:c r="A27" s="36">
        <x:v>11</x:v>
      </x:c>
      <x:c r="B27" s="34" t="s">
        <x:v>30</x:v>
      </x:c>
      <x:c r="C27" s="42"/>
      <x:c r="D27" s="43"/>
      <x:c r="E27" s="46">
        <x:v>77.099999999999994</x:v>
      </x:c>
      <x:c r="F27" s="34" t="s">
        <x:v>31</x:v>
      </x:c>
      <x:c r="G27" s="38" t="n">
        <x:f t="shared" ref="G27:G28" si="1">(((C27/100)*D27))*(1+($A$30*0.01))</x:f>
        <x:v>0</x:v>
      </x:c>
      <x:c r="H27" s="38" t="n">
        <x:f>E27*G27</x:f>
        <x:v>0</x:v>
      </x:c>
    </x:row>
    <x:row r="28" ht="12" customHeight="1">
      <x:c r="A28" s="36">
        <x:v>11</x:v>
      </x:c>
      <x:c r="B28" s="34" t="str">
        <x:f t="shared" ref="B28" si="2">IF(A28=11,"Gaco Silicone",IF(A28=12,"Gaco Acrylic",IF(A28=13,"Gaco Urethane",IF(A28=21,"BASF Silicone",IF(A28=22,"BASF Acrylic",IF(A28=23,"BASF Urethane",IF(A28=4,"Aluminum",IF(A28=31,"AW Silicone",IF(A28=32,"AW Acrylic",IF(A28=33,"AW Urethane",""))))))))))</x:f>
        <x:v>Gaco Silicone</x:v>
      </x:c>
      <x:c r="C28" s="42"/>
      <x:c r="D28" s="43"/>
      <x:c r="E28" s="46">
        <x:v>42</x:v>
      </x:c>
      <x:c r="F28" s="34"/>
      <x:c r="G28" s="38">
        <x:f t="shared" si="1"/>
        <x:v>0</x:v>
      </x:c>
      <x:c r="H28" s="38" t="n">
        <x:f>E28*G28</x:f>
        <x:v>0</x:v>
      </x:c>
    </x:row>
    <x:row r="29" ht="12" customHeight="1">
      <x:c r="A29" s="114" t="s">
        <x:v>32</x:v>
      </x:c>
      <x:c r="B29" s="34"/>
      <x:c r="C29" s="47"/>
      <x:c r="D29" s="48"/>
      <x:c r="E29" s="40"/>
      <x:c r="F29" s="34"/>
      <x:c r="G29" s="38"/>
      <x:c r="H29" s="38"/>
    </x:row>
    <x:row r="30" ht="12" customHeight="1">
      <x:c r="A30" s="49">
        <x:v>10</x:v>
      </x:c>
      <x:c r="B30" s="100"/>
      <x:c r="C30" s="50"/>
      <x:c r="D30" s="51"/>
      <x:c r="E30" s="40"/>
      <x:c r="F30" s="34"/>
      <x:c r="G30" s="38"/>
      <x:c r="H30" s="38"/>
    </x:row>
    <x:row r="31" ht="12" customHeight="1">
      <x:c r="D31" s="91"/>
    </x:row>
    <x:row r="32" ht="12" customHeight="1">
      <x:c r="A32" s="87" t="s">
        <x:v>33</x:v>
      </x:c>
      <x:c r="B32" s="91" t="s">
        <x:v>22</x:v>
      </x:c>
      <x:c r="C32" s="87" t="s">
        <x:v>34</x:v>
      </x:c>
      <x:c r="D32" s="91"/>
    </x:row>
    <x:row r="33" ht="12" customHeight="1">
      <x:c r="A33" s="35">
        <x:v>1</x:v>
      </x:c>
      <x:c r="B33" s="34" t="str">
        <x:f>IF(A33=1,"Naphtha VM&amp;P",IF(A33=2,"Mineral Spirits",IF(A33=3,"Xylene","")))</x:f>
        <x:v>Naphtha VM&amp;P</x:v>
      </x:c>
      <x:c r="C33" s="50"/>
      <x:c r="D33" s="51"/>
      <x:c r="E33" s="46"/>
      <x:c r="F33" s="34"/>
      <x:c r="G33" s="38"/>
      <x:c r="H33" s="38" t="n">
        <x:f>E33*G33</x:f>
        <x:v>0</x:v>
      </x:c>
    </x:row>
    <x:row r="35" ht="12" customHeight="1">
      <x:c r="A35" s="87" t="s">
        <x:v>35</x:v>
      </x:c>
      <x:c r="B35" s="91" t="s">
        <x:v>22</x:v>
      </x:c>
      <x:c r="C35" s="87" t="s">
        <x:v>36</x:v>
      </x:c>
    </x:row>
    <x:row r="36" ht="12" customHeight="1">
      <x:c r="A36" s="35">
        <x:v>1</x:v>
      </x:c>
      <x:c r="B36" s="34" t="str">
        <x:f>IF(A36=1,"3M",IF(A36=2,"SESCO",""))</x:f>
        <x:v>3M</x:v>
      </x:c>
      <x:c r="C36" s="52"/>
      <x:c r="E36" s="46">
        <x:v>26</x:v>
      </x:c>
      <x:c r="F36" s="34"/>
      <x:c r="G36" s="53"/>
      <x:c r="H36" s="38" t="n">
        <x:f>E36*G36</x:f>
        <x:v>0</x:v>
      </x:c>
    </x:row>
    <x:row r="37" ht="12" customHeight="1">
      <x:c r="A37"/>
      <x:c r="B37"/>
      <x:c r="C37"/>
      <x:c r="D37"/>
      <x:c r="E37"/>
      <x:c r="F37"/>
      <x:c r="G37"/>
      <x:c r="H37"/>
    </x:row>
    <x:row r="38" ht="12" customHeight="1">
      <x:c r="A38" s="87" t="s">
        <x:v>37</x:v>
      </x:c>
      <x:c r="B38" s="91" t="s">
        <x:v>22</x:v>
      </x:c>
      <x:c r="C38" s="87" t="s">
        <x:v>38</x:v>
      </x:c>
      <x:c r="D38" s="87"/>
      <x:c r="E38" s="87"/>
      <x:c r="F38" s="87"/>
    </x:row>
    <x:row r="39" ht="12" customHeight="1">
      <x:c r="A39" s="35">
        <x:v>1</x:v>
      </x:c>
      <x:c r="B39" s="34" t="str">
        <x:f>IF(A39=1,"Gaco E-5320",IF(A39=2,"Red Zinc Oxide",IF(A39=3,"Black Foam","")))</x:f>
        <x:v>Gaco E-5320</x:v>
      </x:c>
      <x:c r="C39" s="36"/>
      <x:c r="E39" s="37">
        <x:v>40</x:v>
      </x:c>
      <x:c r="F39" s="34"/>
      <x:c r="G39" s="38" t="n">
        <x:f>SUM(C39/250)</x:f>
        <x:v>0</x:v>
      </x:c>
      <x:c r="H39" s="38" t="n">
        <x:f>E39*G39</x:f>
        <x:v>0</x:v>
      </x:c>
    </x:row>
    <x:row r="40" ht="12" customHeight="1">
      <x:c r="A40" s="39"/>
      <x:c r="B40" s="34"/>
      <x:c r="C40" s="39"/>
      <x:c r="E40" s="40"/>
      <x:c r="F40" s="34"/>
      <x:c r="G40" s="38"/>
      <x:c r="H40" s="38"/>
    </x:row>
    <x:row r="41" ht="12" customHeight="1">
      <x:c r="A41" s="87" t="s">
        <x:v>39</x:v>
      </x:c>
      <x:c r="B41" s="91" t="s">
        <x:v>22</x:v>
      </x:c>
      <x:c r="C41" s="7" t="s">
        <x:v>40</x:v>
      </x:c>
      <x:c r="I41"/>
    </x:row>
    <x:row r="42" ht="12" customHeight="1">
      <x:c r="A42" s="87"/>
      <x:c r="B42" s="91"/>
      <x:c r="C42" s="7" t="s">
        <x:v>41</x:v>
      </x:c>
    </x:row>
    <x:row r="43" ht="12" customHeight="1">
      <x:c r="A43" s="35">
        <x:v>2</x:v>
      </x:c>
      <x:c r="B43" s="34" t="str">
        <x:f>IF(A43=1,"Silicone Tube",IF(A43=2,"Silicone Sausage",IF(A43=3,"Urethane Tube",IF(A43=4,"Urethane Sausage",IF(A43=5,"Gaco SF-2000",IF(A43=6,"Buttergrade",""))))))</x:f>
        <x:v>Silicone Sausage</x:v>
      </x:c>
      <x:c r="C43" s="57"/>
      <x:c r="E43" s="46"/>
      <x:c r="F43" s="34"/>
      <x:c r="G43" s="141"/>
      <x:c r="H43" s="38" t="n">
        <x:f>E43*G43</x:f>
        <x:v>0</x:v>
      </x:c>
    </x:row>
    <x:row r="45" ht="12" customHeight="1">
      <x:c r="A45" s="35">
        <x:v>5</x:v>
      </x:c>
      <x:c r="B45" s="34" t="str">
        <x:f>IF(A45=1,"Silicone Tube",IF(A45=2,"Silicone Sausage",IF(A45=3,"Urethane Tube",IF(A45=4,"Urethane Sausage",IF(A45=5,"Gaco SF-2000",IF(A45=6,"Buttergrade",""))))))</x:f>
        <x:v>Gaco SF-2000</x:v>
      </x:c>
      <x:c r="C45" s="57"/>
      <x:c r="E45" s="46"/>
      <x:c r="F45" s="34"/>
      <x:c r="G45" s="144"/>
      <x:c r="H45" s="38" t="n">
        <x:f>E45*G45</x:f>
        <x:v>0</x:v>
      </x:c>
    </x:row>
    <x:row r="46" ht="12" customHeight="1">
      <x:c r="A46"/>
      <x:c r="B46"/>
      <x:c r="C46" s="95" t="s">
        <x:v>42</x:v>
      </x:c>
      <x:c r="D46"/>
      <x:c r="E46"/>
      <x:c r="F46"/>
      <x:c r="G46"/>
      <x:c r="H46"/>
    </x:row>
    <x:row r="47" ht="12" customHeight="1">
      <x:c r="A47" s="114" t="s">
        <x:v>43</x:v>
      </x:c>
      <x:c r="C47" s="52"/>
      <x:c r="E47"/>
      <x:c r="G47"/>
      <x:c r="H47" s="38"/>
    </x:row>
    <x:row r="48" ht="12" customHeight="1">
      <x:c r="D48" s="91" t="s">
        <x:v>44</x:v>
      </x:c>
      <x:c r="G48"/>
    </x:row>
    <x:row r="49" ht="12" customHeight="1">
      <x:c r="A49" s="114" t="s">
        <x:v>45</x:v>
      </x:c>
      <x:c r="B49" s="103"/>
      <x:c r="C49" s="25"/>
      <x:c r="D49" s="112"/>
      <x:c r="E49"/>
      <x:c r="F49" s="34"/>
      <x:c r="G49"/>
      <x:c r="H49" s="38"/>
    </x:row>
    <x:row r="50" ht="12" customHeight="1">
      <x:c r="D50" s="91"/>
      <x:c r="G50"/>
    </x:row>
    <x:row r="51" ht="12" customHeight="1">
      <x:c r="A51" s="114" t="s">
        <x:v>46</x:v>
      </x:c>
      <x:c r="B51" s="103"/>
      <x:c r="C51" s="25"/>
      <x:c r="D51" s="112"/>
      <x:c r="E51"/>
      <x:c r="F51" s="34"/>
      <x:c r="G51"/>
      <x:c r="H51" s="38"/>
    </x:row>
    <x:row r="52" ht="12" customHeight="1">
      <x:c r="D52" s="39"/>
      <x:c r="E52"/>
      <x:c r="G52"/>
    </x:row>
    <x:row r="53" ht="12" customHeight="1">
      <x:c r="A53" s="114" t="s">
        <x:v>47</x:v>
      </x:c>
      <x:c r="B53" s="103"/>
      <x:c r="C53" s="25"/>
      <x:c r="D53" s="112"/>
      <x:c r="E53"/>
      <x:c r="F53" s="34"/>
      <x:c r="G53"/>
      <x:c r="H53" s="38"/>
    </x:row>
    <x:row r="54" ht="12" customHeight="1">
      <x:c r="A54"/>
      <x:c r="B54"/>
      <x:c r="C54"/>
      <x:c r="D54"/>
      <x:c r="E54"/>
      <x:c r="F54"/>
      <x:c r="G54"/>
      <x:c r="H54"/>
    </x:row>
    <x:row r="55" ht="12" customHeight="1">
      <x:c r="A55" s="87" t="s">
        <x:v>48</x:v>
      </x:c>
      <x:c r="B55" s="91" t="s">
        <x:v>22</x:v>
      </x:c>
      <x:c r="C55" s="87" t="s">
        <x:v>49</x:v>
      </x:c>
    </x:row>
    <x:row r="56" ht="12" customHeight="1">
      <x:c r="A56" s="87"/>
      <x:c r="B56" s="91"/>
      <x:c r="C56" s="87" t="s">
        <x:v>50</x:v>
      </x:c>
    </x:row>
    <x:row r="57" ht="12" customHeight="1">
      <x:c r="C57" s="91" t="s">
        <x:v>15</x:v>
      </x:c>
      <x:c r="D57" s="91" t="s">
        <x:v>24</x:v>
      </x:c>
      <x:c r="E57" s="91" t="s">
        <x:v>51</x:v>
      </x:c>
    </x:row>
    <x:row r="58" ht="12" customHeight="1">
      <x:c r="A58" s="35">
        <x:v>1</x:v>
      </x:c>
      <x:c r="B58" s="115" t="str">
        <x:f>IF(A58=1,"ISO Board",IF(A58=2,"Wood Fiber",IF(A58=3,"Dens Deck",IF(A58=4,"Type X Gyp Board",IF(A58=5,"Flute Filler","")))))</x:f>
        <x:v>ISO Board</x:v>
      </x:c>
      <x:c r="C58" s="119"/>
      <x:c r="D58" s="117"/>
      <x:c r="E58" s="122">
        <x:v>30</x:v>
      </x:c>
      <x:c r="F58" s="34"/>
      <x:c r="G58" s="57"/>
      <x:c r="H58" s="38" t="n">
        <x:f>C58/100*E58</x:f>
        <x:v>0</x:v>
      </x:c>
    </x:row>
    <x:row r="59" ht="12" customHeight="1">
      <x:c r="A59" s="35">
        <x:v>1</x:v>
      </x:c>
      <x:c r="B59" s="115" t="str">
        <x:f t="shared" ref="B59:B60" si="3">IF(A59=1,"ISO Board",IF(A59=2,"Wood Fiber",IF(A59=3,"Dens Deck",IF(A59=4,"Type X Gyp Board",IF(A59=5,"Flute Filler","")))))</x:f>
        <x:v>ISO Board</x:v>
      </x:c>
      <x:c r="C59" s="119"/>
      <x:c r="D59" s="117"/>
      <x:c r="E59" s="122">
        <x:v>30</x:v>
      </x:c>
      <x:c r="F59" s="34"/>
      <x:c r="G59" s="57"/>
      <x:c r="H59" s="38" t="n">
        <x:f t="shared" ref="H59:H60" si="4">C59/100*E59</x:f>
        <x:v>0</x:v>
      </x:c>
    </x:row>
    <x:row r="60" ht="12" customHeight="1">
      <x:c r="A60" s="35">
        <x:v>1</x:v>
      </x:c>
      <x:c r="B60" s="115">
        <x:f t="shared" si="3"/>
      </x:c>
      <x:c r="C60" s="119"/>
      <x:c r="D60" s="117"/>
      <x:c r="E60" s="122">
        <x:v>30</x:v>
      </x:c>
      <x:c r="F60" s="34"/>
      <x:c r="G60" s="57"/>
      <x:c r="H60" s="38">
        <x:f t="shared" si="4"/>
        <x:v>0</x:v>
      </x:c>
    </x:row>
    <x:row r="61" ht="12" customHeight="1">
      <x:c r="C61" s="91"/>
      <x:c r="G61" s="91"/>
    </x:row>
    <x:row r="62" ht="12" customHeight="1">
      <x:c r="C62" s="91" t="s">
        <x:v>52</x:v>
      </x:c>
    </x:row>
    <x:row r="63" ht="12" customHeight="1">
      <x:c r="A63" s="87" t="s">
        <x:v>53</x:v>
      </x:c>
      <x:c r="B63" s="54"/>
      <x:c r="C63" s="49"/>
      <x:c r="E63" s="123">
        <x:v>100</x:v>
      </x:c>
      <x:c r="F63" s="34"/>
      <x:c r="G63" s="57" t="n">
        <x:f>C58/32*12</x:f>
        <x:v>0</x:v>
      </x:c>
      <x:c r="H63" s="38" t="n">
        <x:f>E63*G63/1000</x:f>
        <x:v>0</x:v>
      </x:c>
    </x:row>
    <x:row r="65" ht="12" customHeight="1">
      <x:c r="A65" s="87" t="s">
        <x:v>54</x:v>
      </x:c>
      <x:c r="B65" s="23"/>
      <x:c r="E65" s="124">
        <x:v>80</x:v>
      </x:c>
      <x:c r="G65" s="57" t="n">
        <x:f>C58/32*12</x:f>
        <x:v>0</x:v>
      </x:c>
      <x:c r="H65" s="38" t="n">
        <x:f>E65*G65/1000</x:f>
        <x:v>0</x:v>
      </x:c>
    </x:row>
    <x:row r="67" ht="12" customHeight="1">
      <x:c r="A67" s="87" t="s">
        <x:v>55</x:v>
      </x:c>
      <x:c r="B67" s="91" t="s">
        <x:v>22</x:v>
      </x:c>
      <x:c r="C67" s="87" t="s">
        <x:v>56</x:v>
      </x:c>
    </x:row>
    <x:row r="68" ht="12" customHeight="1">
      <x:c r="A68" s="87"/>
      <x:c r="B68" s="91"/>
      <x:c r="C68" s="91"/>
      <x:c r="D68" s="91" t="s">
        <x:v>24</x:v>
      </x:c>
      <x:c r="E68" s="91"/>
      <x:c r="F68" s="91" t="s">
        <x:v>32</x:v>
      </x:c>
    </x:row>
    <x:row r="69" ht="12" customHeight="1">
      <x:c r="A69" s="36">
        <x:v>3</x:v>
      </x:c>
      <x:c r="B69" s="34" t="str">
        <x:f>IF(A69=1,"20 Yard",IF(A69=2,"30 Yard",IF(A69=3,"40 Yard","")))</x:f>
        <x:v>40 Yard</x:v>
      </x:c>
      <x:c r="C69" s="127"/>
      <x:c r="D69" s="125"/>
      <x:c r="E69" s="138">
        <x:v>400</x:v>
      </x:c>
      <x:c r="F69" s="49"/>
      <x:c r="G69" s="126" t="n">
        <x:f>(IF(A69=1,C69*D69/12/700,IF(A69=2,C69*D69/12/1000,IF(A69=3,C69*D69/12/1400,""))))*(1+(F69/100))</x:f>
        <x:v>0</x:v>
      </x:c>
      <x:c r="H69" s="38" t="n">
        <x:f>G69*E69</x:f>
        <x:v>0</x:v>
      </x:c>
    </x:row>
    <x:row r="70" ht="12" customHeight="1">
      <x:c r="A70" s="39"/>
      <x:c r="B70" s="34"/>
      <x:c r="C70" s="128"/>
      <x:c r="D70" s="48"/>
      <x:c r="E70" s="40"/>
      <x:c r="F70" s="34"/>
      <x:c r="G70" s="126"/>
      <x:c r="H70" s="38"/>
    </x:row>
    <x:row r="71" ht="12" customHeight="1">
      <x:c r="A71" s="7" t="s">
        <x:v>57</x:v>
      </x:c>
      <x:c r="B71" s="91" t="s">
        <x:v>22</x:v>
      </x:c>
      <x:c r="C71" s="87" t="s">
        <x:v>58</x:v>
      </x:c>
      <x:c r="F71" s="34"/>
      <x:c r="G71" s="126"/>
      <x:c r="H71" s="38"/>
    </x:row>
    <x:row r="72" ht="12" customHeight="1">
      <x:c r="A72" s="39"/>
      <x:c r="B72" s="34"/>
      <x:c r="C72" s="135" t="s">
        <x:v>59</x:v>
      </x:c>
      <x:c r="D72" s="136" t="s">
        <x:v>60</x:v>
      </x:c>
      <x:c r="E72" s="40"/>
      <x:c r="F72" s="91" t="s">
        <x:v>32</x:v>
      </x:c>
      <x:c r="G72" s="126"/>
      <x:c r="H72" s="38"/>
    </x:row>
    <x:row r="73" ht="12" customHeight="1">
      <x:c r="A73" s="36">
        <x:v>1</x:v>
      </x:c>
      <x:c r="B73" s="34" t="str">
        <x:f>IF(A73=1,"Forklift",IF(A73=2,"Boom",IF(A73=3,"Scissor",IF(A73=4,"Articulating",""))))</x:f>
        <x:v>Forklift</x:v>
      </x:c>
      <x:c r="C73" s="127"/>
      <x:c r="D73" s="137"/>
      <x:c r="E73" s="130">
        <x:v>0</x:v>
      </x:c>
      <x:c r="F73" s="117"/>
      <x:c r="G73" s="126"/>
      <x:c r="H73" s="142" t="n">
        <x:f>D73*E73*(1+(F73/100))</x:f>
        <x:v>0</x:v>
      </x:c>
    </x:row>
    <x:row r="74" ht="12" customHeight="1">
      <x:c r="A74" s="36">
        <x:v>1</x:v>
      </x:c>
      <x:c r="B74" s="34" t="str">
        <x:f>IF(A74=1,"Forklift",IF(A74=2,"Boom",IF(A74=3,"Scissor",IF(A74=4,"Articulating",""))))</x:f>
        <x:v>Forklift</x:v>
      </x:c>
      <x:c r="C74" s="127"/>
      <x:c r="D74" s="137"/>
      <x:c r="E74" s="130">
        <x:v>0</x:v>
      </x:c>
      <x:c r="F74" s="117"/>
      <x:c r="G74" s="126"/>
      <x:c r="H74" s="142" t="n">
        <x:f>D74*E74*(1+(F74/100))</x:f>
        <x:v>0</x:v>
      </x:c>
    </x:row>
    <x:row r="75" ht="12" customHeight="1">
      <x:c r="A75" s="87"/>
      <x:c r="B75" s="34"/>
      <x:c r="C75" s="57"/>
      <x:c r="E75" s="40"/>
      <x:c r="F75" s="34"/>
      <x:c r="G75" s="53"/>
      <x:c r="H75" s="38"/>
    </x:row>
    <x:row r="76" ht="12" customHeight="1">
      <x:c r="A76" s="87" t="s">
        <x:v>61</x:v>
      </x:c>
      <x:c r="B76" s="139"/>
      <x:c r="C76" s="57"/>
      <x:c r="E76" s="140">
        <x:v>0</x:v>
      </x:c>
      <x:c r="F76" s="34"/>
      <x:c r="G76" s="141"/>
      <x:c r="H76" s="38" t="n">
        <x:f>E76*G76</x:f>
        <x:v>0</x:v>
      </x:c>
    </x:row>
    <x:row r="77" ht="12" customHeight="1">
      <x:c r="A77" s="87"/>
      <x:c r="B77" s="34"/>
      <x:c r="C77" s="57"/>
      <x:c r="E77" s="40"/>
      <x:c r="F77" s="34"/>
      <x:c r="G77" s="53"/>
      <x:c r="H77" s="38"/>
    </x:row>
    <x:row r="78" ht="12" customHeight="1">
      <x:c r="C78" s="91" t="s">
        <x:v>42</x:v>
      </x:c>
      <x:c r="D78" s="91" t="s">
        <x:v>62</x:v>
      </x:c>
    </x:row>
    <x:row r="79" ht="12" customHeight="1">
      <x:c r="A79" s="87" t="s">
        <x:v>63</x:v>
      </x:c>
      <x:c r="B79" s="108"/>
      <x:c r="C79" s="35"/>
      <x:c r="D79" s="109"/>
      <x:c r="E79" s="129">
        <x:v>5</x:v>
      </x:c>
      <x:c r="G79" s="91"/>
      <x:c r="H79" s="75" t="n">
        <x:f>C79*E79</x:f>
        <x:v>0</x:v>
      </x:c>
    </x:row>
    <x:row r="80" ht="12" customHeight="1">
      <x:c r="C80" s="91"/>
      <x:c r="G80" s="91"/>
    </x:row>
    <x:row r="81" ht="12" customHeight="1">
      <x:c r="C81" s="91" t="s">
        <x:v>42</x:v>
      </x:c>
      <x:c r="G81" s="91"/>
    </x:row>
    <x:row r="82" ht="12" customHeight="1">
      <x:c r="A82" s="87" t="s">
        <x:v>64</x:v>
      </x:c>
      <x:c r="B82" s="54"/>
      <x:c r="C82" s="55"/>
      <x:c r="E82" s="46">
        <x:v>0</x:v>
      </x:c>
      <x:c r="F82" s="34"/>
      <x:c r="G82" s="40"/>
      <x:c r="H82" s="38" t="n">
        <x:f>C82*E82</x:f>
        <x:v>0</x:v>
      </x:c>
    </x:row>
    <x:row r="83" ht="12" customHeight="1">
      <x:c r="C83" s="91"/>
    </x:row>
    <x:row r="84" ht="12" customHeight="1">
      <x:c r="A84" s="87" t="s">
        <x:v>65</x:v>
      </x:c>
      <x:c r="B84" s="25"/>
      <x:c r="C84" s="105"/>
      <x:c r="E84" s="46">
        <x:v>0</x:v>
      </x:c>
      <x:c r="H84" s="38" t="n">
        <x:f>C84*E84</x:f>
        <x:v>0</x:v>
      </x:c>
    </x:row>
    <x:row r="85" ht="12" customHeight="1">
      <x:c r="A85" s="87"/>
    </x:row>
    <x:row r="86" ht="12" customHeight="1">
      <x:c r="A86" s="87" t="s">
        <x:v>66</x:v>
      </x:c>
      <x:c r="B86" s="23"/>
      <x:c r="C86" s="102"/>
      <x:c r="E86" s="46">
        <x:v>0</x:v>
      </x:c>
      <x:c r="F86" s="34"/>
      <x:c r="G86" s="101"/>
      <x:c r="H86" s="38" t="n">
        <x:f>C86*E86</x:f>
        <x:v>0</x:v>
      </x:c>
    </x:row>
    <x:row r="87" ht="12" customHeight="1">
      <x:c r="A87"/>
      <x:c r="B87"/>
      <x:c r="C87"/>
      <x:c r="D87"/>
      <x:c r="E87"/>
      <x:c r="F87"/>
      <x:c r="G87"/>
      <x:c r="H87"/>
    </x:row>
    <x:row r="88" ht="12" customHeight="1">
      <x:c r="A88" s="104" t="s">
        <x:v>67</x:v>
      </x:c>
      <x:c r="B88" s="103"/>
      <x:c r="D88"/>
      <x:c r="E88" s="46">
        <x:v>0</x:v>
      </x:c>
      <x:c r="F88"/>
      <x:c r="G88" s="111"/>
      <x:c r="H88" s="38" t="n">
        <x:f>G88*E88</x:f>
        <x:v>0</x:v>
      </x:c>
    </x:row>
    <x:row r="89" ht="12" customHeight="1">
      <x:c r="A89" s="104"/>
      <x:c r="B89"/>
      <x:c r="D89"/>
      <x:c r="E89"/>
      <x:c r="F89"/>
      <x:c r="G89" s="95"/>
      <x:c r="H89"/>
    </x:row>
    <x:row r="90" ht="12" customHeight="1">
      <x:c r="A90" s="104" t="s">
        <x:v>68</x:v>
      </x:c>
      <x:c r="B90" s="23"/>
      <x:c r="E90" s="46">
        <x:v>0</x:v>
      </x:c>
      <x:c r="F90"/>
      <x:c r="G90" s="111"/>
      <x:c r="H90" s="38" t="n">
        <x:f>G90*E90</x:f>
        <x:v>0</x:v>
      </x:c>
    </x:row>
    <x:row r="91" ht="12" customHeight="1">
      <x:c r="A91"/>
      <x:c r="B91"/>
      <x:c r="D91"/>
      <x:c r="E91"/>
      <x:c r="F91"/>
      <x:c r="G91"/>
      <x:c r="H91"/>
    </x:row>
    <x:row r="92" ht="12" customHeight="1">
      <x:c r="A92" s="104" t="s">
        <x:v>69</x:v>
      </x:c>
      <x:c r="B92" s="23"/>
      <x:c r="E92" s="46">
        <x:v>0</x:v>
      </x:c>
      <x:c r="F92"/>
      <x:c r="G92" s="111"/>
      <x:c r="H92" s="38" t="n">
        <x:f>G92*E92</x:f>
        <x:v>0</x:v>
      </x:c>
    </x:row>
    <x:row r="93" ht="12" customHeight="1">
      <x:c r="A93" s="104"/>
      <x:c r="B93"/>
      <x:c r="D93"/>
      <x:c r="E93"/>
      <x:c r="F93"/>
      <x:c r="G93"/>
      <x:c r="H93"/>
    </x:row>
    <x:row r="94" ht="12" customHeight="1">
      <x:c r="A94" s="104" t="s">
        <x:v>70</x:v>
      </x:c>
      <x:c r="B94" s="103"/>
      <x:c r="E94" s="46">
        <x:v>0</x:v>
      </x:c>
      <x:c r="F94"/>
      <x:c r="G94" s="111"/>
      <x:c r="H94" s="38" t="n">
        <x:f>G94*E94</x:f>
        <x:v>0</x:v>
      </x:c>
    </x:row>
    <x:row r="95" ht="12" customHeight="1">
      <x:c r="A95" s="104"/>
      <x:c r="B95"/>
      <x:c r="D95"/>
      <x:c r="E95"/>
      <x:c r="F95"/>
      <x:c r="G95"/>
      <x:c r="H95"/>
    </x:row>
    <x:row r="96" ht="12" customHeight="1">
      <x:c r="A96" s="104" t="s">
        <x:v>71</x:v>
      </x:c>
      <x:c r="B96" s="23"/>
      <x:c r="E96" s="46">
        <x:v>0</x:v>
      </x:c>
      <x:c r="F96"/>
      <x:c r="G96" s="111"/>
      <x:c r="H96" s="38" t="n">
        <x:f>G96*E96</x:f>
        <x:v>0</x:v>
      </x:c>
    </x:row>
    <x:row r="98" ht="12" customHeight="1">
      <x:c r="C98" s="91" t="s">
        <x:v>72</x:v>
      </x:c>
    </x:row>
    <x:row r="99" ht="12" customHeight="1">
      <x:c r="A99" s="87" t="s">
        <x:v>73</x:v>
      </x:c>
      <x:c r="B99" s="56"/>
      <x:c r="C99" s="55"/>
      <x:c r="E99" s="46">
        <x:v>30</x:v>
      </x:c>
      <x:c r="F99" s="34"/>
      <x:c r="G99" s="53"/>
      <x:c r="H99" s="38" t="n">
        <x:f>C99*E99</x:f>
        <x:v>0</x:v>
      </x:c>
    </x:row>
    <x:row r="101" ht="12" customHeight="1">
      <x:c r="A101" s="87" t="s">
        <x:v>74</x:v>
      </x:c>
      <x:c r="B101" s="24"/>
      <x:c r="C101" s="57"/>
      <x:c r="E101" s="46">
        <x:v>0</x:v>
      </x:c>
      <x:c r="F101" s="34"/>
      <x:c r="H101" s="38" t="n">
        <x:f>E101</x:f>
        <x:v>0</x:v>
      </x:c>
    </x:row>
    <x:row r="103" ht="12" customHeight="1">
      <x:c r="A103" s="87" t="s">
        <x:v>75</x:v>
      </x:c>
      <x:c r="B103" s="23"/>
      <x:c r="C103" s="57"/>
      <x:c r="E103" s="46">
        <x:v>0</x:v>
      </x:c>
      <x:c r="F103" s="34"/>
      <x:c r="H103" s="38" t="n">
        <x:f>E103</x:f>
        <x:v>0</x:v>
      </x:c>
    </x:row>
    <x:row r="104" ht="12" customHeight="1">
      <x:c r="A104" s="87"/>
      <x:c r="B104" s="113"/>
      <x:c r="C104" s="57"/>
      <x:c r="E104"/>
      <x:c r="F104" s="34"/>
      <x:c r="G104" s="53"/>
      <x:c r="H104" s="38"/>
    </x:row>
    <x:row r="105" ht="12" customHeight="1">
      <x:c r="A105"/>
      <x:c r="B105" s="95" t="s">
        <x:v>76</x:v>
      </x:c>
      <x:c r="C105" s="95" t="s">
        <x:v>77</x:v>
      </x:c>
      <x:c r="D105"/>
      <x:c r="E105"/>
      <x:c r="F105"/>
      <x:c r="G105"/>
      <x:c r="H105"/>
    </x:row>
    <x:row r="106" ht="12" customHeight="1">
      <x:c r="A106" s="87" t="s">
        <x:v>78</x:v>
      </x:c>
      <x:c r="B106" s="58"/>
      <x:c r="C106" s="55"/>
      <x:c r="D106" s="18"/>
      <x:c r="E106" s="46">
        <x:v>0.65</x:v>
      </x:c>
      <x:c r="F106" s="34"/>
      <x:c r="G106" s="53"/>
      <x:c r="H106" s="38" t="n">
        <x:f>B106*C106*E106</x:f>
        <x:v>0</x:v>
      </x:c>
    </x:row>
    <x:row r="108" ht="12" customHeight="1">
      <x:c r="A108" s="87" t="s">
        <x:v>79</x:v>
      </x:c>
      <x:c r="B108" s="58"/>
      <x:c r="C108" s="55"/>
      <x:c r="D108" s="18"/>
      <x:c r="E108" s="46">
        <x:v>1.1499999999999999</x:v>
      </x:c>
      <x:c r="F108" s="34"/>
      <x:c r="G108" s="53"/>
      <x:c r="H108" s="38" t="n">
        <x:f>B108*C108*E108</x:f>
        <x:v>0</x:v>
      </x:c>
    </x:row>
    <x:row r="109" ht="12" customHeight="1">
      <x:c r="A109" s="33"/>
      <x:c r="B109" s="33"/>
      <x:c r="C109" s="34"/>
      <x:c r="D109" s="34"/>
      <x:c r="E109" s="34"/>
      <x:c r="F109" s="34"/>
      <x:c r="G109" s="34"/>
      <x:c r="H109" s="33" t="s">
        <x:v>80</x:v>
      </x:c>
    </x:row>
    <x:row r="110" ht="12" customHeight="1">
      <x:c r="B110" s="31"/>
      <x:c r="F110" s="59"/>
      <x:c r="G110" s="60" t="s">
        <x:v>81</x:v>
      </x:c>
      <x:c r="H110" s="61" t="n">
        <x:f>SUM(H19:H108)</x:f>
        <x:v>0</x:v>
      </x:c>
    </x:row>
    <x:row r="111" ht="12" customHeight="1">
      <x:c r="B111" s="31"/>
      <x:c r="E111" s="18"/>
      <x:c r="F111" s="60" t="s">
        <x:v>82</x:v>
      </x:c>
      <x:c r="G111" s="88">
        <x:v>0.06</x:v>
      </x:c>
      <x:c r="H111" s="61" t="n">
        <x:f>(H110*G111)</x:f>
        <x:v>0</x:v>
      </x:c>
    </x:row>
    <x:row r="112" ht="12" customHeight="1">
      <x:c r="A112" s="87" t="s">
        <x:v>83</x:v>
      </x:c>
    </x:row>
    <x:row r="113" ht="12.75" customHeight="1">
      <x:c r="A113" s="33" t="s">
        <x:v>13</x:v>
      </x:c>
      <x:c r="B113" s="33"/>
    </x:row>
    <x:row r="114" ht="36.75" customHeight="1">
      <x:c r="B114" s="62" t="s">
        <x:v>84</x:v>
      </x:c>
      <x:c r="C114" s="62" t="s">
        <x:v>85</x:v>
      </x:c>
      <x:c r="D114" s="62" t="s">
        <x:v>86</x:v>
      </x:c>
      <x:c r="E114" s="62" t="s">
        <x:v>87</x:v>
      </x:c>
      <x:c r="F114" s="62" t="s">
        <x:v>88</x:v>
      </x:c>
      <x:c r="G114" s="62" t="s">
        <x:v>89</x:v>
      </x:c>
      <x:c r="H114" s="62" t="s">
        <x:v>18</x:v>
      </x:c>
      <x:c r="J114" s="62" t="s">
        <x:v>90</x:v>
      </x:c>
    </x:row>
    <x:row r="115" ht="12" customHeight="1">
      <x:c r="D115" s="91"/>
      <x:c r="F115" s="91"/>
    </x:row>
    <x:row r="116" ht="12" customHeight="1">
      <x:c r="A116" s="87" t="s">
        <x:v>91</x:v>
      </x:c>
      <x:c r="B116" s="63"/>
      <x:c r="C116" s="45"/>
      <x:c r="D116" s="64" t="n">
        <x:f>(B116*People!B11)*C116</x:f>
        <x:v>0</x:v>
      </x:c>
      <x:c r="E116" s="65"/>
      <x:c r="F116" s="66"/>
      <x:c r="G116" s="67" t="n">
        <x:f>(E116+F116)*People!C3</x:f>
        <x:v>0</x:v>
      </x:c>
      <x:c r="H116" s="68" t="n">
        <x:f>IF(G116=0, B116*J116, D116*G116)</x:f>
        <x:v>0</x:v>
      </x:c>
      <x:c r="J116" s="69" t="n">
        <x:f>IF(C116=1,People!$D$12)+IF(C116=2,People!$E$12)+IF(C116=3,People!$F$12)+IF(C116=4,People!$G$12)+IF(C116=5,People!$H$12)+IF(C116=6,People!$I$12)+IF(C116=7,People!$J$12)+IF(C116=8,People!$K$12)</x:f>
        <x:v>0</x:v>
      </x:c>
      <x:c r="K116" s="70"/>
    </x:row>
    <x:row r="117" ht="12" customHeight="1">
      <x:c r="A117" s="87" t="s">
        <x:v>92</x:v>
      </x:c>
      <x:c r="B117" s="34"/>
      <x:c r="C117" s="30"/>
      <x:c r="E117" s="91"/>
      <x:c r="J117" s="71"/>
      <x:c r="K117" s="70"/>
    </x:row>
    <x:row r="118" ht="12" customHeight="1">
      <x:c r="A118" s="87" t="s">
        <x:v>93</x:v>
      </x:c>
      <x:c r="B118" s="72"/>
      <x:c r="C118" s="45"/>
      <x:c r="D118" s="64" t="n">
        <x:f>(B118*People!B11)*C118</x:f>
        <x:v>0</x:v>
      </x:c>
      <x:c r="E118" s="65"/>
      <x:c r="F118" s="73"/>
      <x:c r="G118" s="67" t="n">
        <x:f>(E118+F118)*People!C3</x:f>
        <x:v>0</x:v>
      </x:c>
      <x:c r="H118" s="68" t="n">
        <x:f>IF(G118=0, B118*J118, D118*G118)</x:f>
        <x:v>0</x:v>
      </x:c>
      <x:c r="J118" s="69" t="n">
        <x:f>IF(C118=1,People!$D$12)+IF(C118=2,People!$E$12)+IF(C118=3,People!$F$12)+IF(C118=4,People!$G$12)+IF(C118=5,People!$H$12)+IF(C118=6,People!$I$12)+IF(C118=7,People!$J$12)+IF(C118=8,People!$K$12)</x:f>
        <x:v>0</x:v>
      </x:c>
      <x:c r="K118" s="70"/>
    </x:row>
    <x:row r="119" ht="12" customHeight="1">
      <x:c r="B119" s="91"/>
      <x:c r="C119" s="30"/>
      <x:c r="J119" s="71"/>
      <x:c r="K119" s="70"/>
    </x:row>
    <x:row r="120" ht="12" customHeight="1">
      <x:c r="A120" s="87" t="s">
        <x:v>94</x:v>
      </x:c>
      <x:c r="B120" s="72"/>
      <x:c r="C120" s="45"/>
      <x:c r="D120" s="64" t="n">
        <x:f>(B120*People!B11)*C120</x:f>
        <x:v>0</x:v>
      </x:c>
      <x:c r="E120" s="65"/>
      <x:c r="F120" s="73"/>
      <x:c r="G120" s="67" t="n">
        <x:f>(E120+F120)*People!C3</x:f>
        <x:v>0</x:v>
      </x:c>
      <x:c r="H120" s="68" t="n">
        <x:f>IF(G120=0, B120*J120, D120*G120)</x:f>
        <x:v>0</x:v>
      </x:c>
      <x:c r="J120" s="69" t="n">
        <x:f>IF(C120=1,People!$D$12)+IF(C120=2,People!$E$12)+IF(C120=3,People!$F$12)+IF(C120=4,People!$G$12)+IF(C120=5,People!$H$12)+IF(C120=6,People!$I$12)+IF(C120=7,People!$J$12)+IF(C120=8,People!$K$12)</x:f>
        <x:v>0</x:v>
      </x:c>
      <x:c r="K120" s="70"/>
    </x:row>
    <x:row r="121" ht="12" customHeight="1">
      <x:c r="A121" s="87" t="s">
        <x:v>95</x:v>
      </x:c>
      <x:c r="B121" s="91"/>
      <x:c r="C121" s="30"/>
      <x:c r="J121" s="71"/>
      <x:c r="K121" s="70"/>
    </x:row>
    <x:row r="122" ht="12" customHeight="1">
      <x:c r="A122" s="87" t="s">
        <x:v>96</x:v>
      </x:c>
      <x:c r="B122" s="72"/>
      <x:c r="C122" s="45"/>
      <x:c r="D122" s="64" t="n">
        <x:f>(B122*People!B11)*C122</x:f>
        <x:v>0</x:v>
      </x:c>
      <x:c r="E122" s="65"/>
      <x:c r="F122" s="73"/>
      <x:c r="G122" s="67" t="n">
        <x:f>(E122+F122)*People!C3</x:f>
        <x:v>0</x:v>
      </x:c>
      <x:c r="H122" s="68" t="n">
        <x:f>IF(G122=0, B122*J122, D122*G122)</x:f>
        <x:v>0</x:v>
      </x:c>
      <x:c r="J122" s="69" t="n">
        <x:f>IF(C122=1,People!$D$12)+IF(C122=2,People!$E$12)+IF(C122=3,People!$F$12)+IF(C122=4,People!$G$12)+IF(C122=5,People!$H$12)+IF(C122=6,People!$I$12)+IF(C122=7,People!$J$12)+IF(C122=8,People!$K$12)</x:f>
        <x:v>0</x:v>
      </x:c>
      <x:c r="K122" s="70"/>
    </x:row>
    <x:row r="123" ht="12" customHeight="1">
      <x:c r="B123" s="91"/>
      <x:c r="C123" s="30"/>
      <x:c r="J123" s="71"/>
    </x:row>
    <x:row r="124" ht="12" customHeight="1">
      <x:c r="A124" s="87" t="s">
        <x:v>37</x:v>
      </x:c>
      <x:c r="B124" s="72"/>
      <x:c r="C124" s="45"/>
      <x:c r="D124" s="64" t="n">
        <x:f>(B124*People!B11)*C124</x:f>
        <x:v>0</x:v>
      </x:c>
      <x:c r="E124" s="65"/>
      <x:c r="F124" s="73"/>
      <x:c r="G124" s="67" t="n">
        <x:f>(E124+F124)*People!C3</x:f>
        <x:v>0</x:v>
      </x:c>
      <x:c r="H124" s="68" t="n">
        <x:f>IF(G124=0, B124*J124, D124*G124)</x:f>
        <x:v>0</x:v>
      </x:c>
      <x:c r="J124" s="69" t="n">
        <x:f>IF(C124=1,People!$D$12)+IF(C124=2,People!$E$12)+IF(C124=3,People!$F$12)+IF(C124=4,People!$G$12)+IF(C124=5,People!$H$12)+IF(C124=6,People!$I$12)+IF(C124=7,People!$J$12)+IF(C124=8,People!$K$12)</x:f>
        <x:v>0</x:v>
      </x:c>
    </x:row>
    <x:row r="125" ht="12" customHeight="1">
      <x:c r="B125" s="91"/>
      <x:c r="C125" s="30"/>
      <x:c r="J125" s="71"/>
    </x:row>
    <x:row r="126" ht="12" customHeight="1">
      <x:c r="A126" s="87" t="s">
        <x:v>97</x:v>
      </x:c>
      <x:c r="B126" s="72"/>
      <x:c r="C126" s="45"/>
      <x:c r="D126" s="64" t="n">
        <x:f>(B126*People!B11)*C126</x:f>
        <x:v>0</x:v>
      </x:c>
      <x:c r="E126" s="65"/>
      <x:c r="F126" s="73"/>
      <x:c r="G126" s="67" t="n">
        <x:f>(E126+F126)*People!C3</x:f>
        <x:v>0</x:v>
      </x:c>
      <x:c r="H126" s="68" t="n">
        <x:f>IF(G126=0, B126*J126, D126*G126)</x:f>
        <x:v>0</x:v>
      </x:c>
      <x:c r="J126" s="69" t="n">
        <x:f>IF(C126=1,People!$D$12)+IF(C126=2,People!$E$12)+IF(C126=3,People!$F$12)+IF(C126=4,People!$G$12)+IF(C126=5,People!$H$12)+IF(C126=6,People!$I$12)+IF(C126=7,People!$J$12)+IF(C126=8,People!$K$12)</x:f>
        <x:v>0</x:v>
      </x:c>
    </x:row>
    <x:row r="127" ht="12" customHeight="1">
      <x:c r="A127"/>
      <x:c r="B127"/>
      <x:c r="C127"/>
      <x:c r="D127"/>
      <x:c r="E127"/>
      <x:c r="F127"/>
      <x:c r="G127"/>
      <x:c r="H127"/>
      <x:c r="J127" s="69"/>
    </x:row>
    <x:row r="128" ht="12" customHeight="1">
      <x:c r="A128" s="87" t="s">
        <x:v>98</x:v>
      </x:c>
      <x:c r="B128" s="72"/>
      <x:c r="C128" s="45"/>
      <x:c r="D128" s="64" t="n">
        <x:f>(B128*People!B11)*C128</x:f>
        <x:v>0</x:v>
      </x:c>
      <x:c r="E128" s="65"/>
      <x:c r="F128" s="73"/>
      <x:c r="G128" s="67" t="n">
        <x:f>(E128+F128)*People!C3</x:f>
        <x:v>0</x:v>
      </x:c>
      <x:c r="H128" s="68" t="n">
        <x:f>IF(G128=0, B128*J128, D128*G128)</x:f>
        <x:v>0</x:v>
      </x:c>
      <x:c r="J128" s="69" t="n">
        <x:f>IF(C128=1,People!$D$12)+IF(C128=2,People!$E$12)+IF(C128=3,People!$F$12)+IF(C128=4,People!$G$12)+IF(C128=5,People!$H$12)+IF(C128=6,People!$I$12)+IF(C128=7,People!$J$12)+IF(C128=8,People!$K$12)</x:f>
        <x:v>0</x:v>
      </x:c>
    </x:row>
    <x:row r="129" ht="12" customHeight="1">
      <x:c r="B129" s="91"/>
      <x:c r="C129" s="30"/>
    </x:row>
    <x:row r="130" ht="12" customHeight="1">
      <x:c r="A130" s="87" t="s">
        <x:v>99</x:v>
      </x:c>
      <x:c r="B130" s="72"/>
      <x:c r="C130" s="45"/>
      <x:c r="D130" s="64" t="n">
        <x:f>(B130*People!B11)*C130</x:f>
        <x:v>0</x:v>
      </x:c>
      <x:c r="E130" s="65"/>
      <x:c r="F130" s="73"/>
      <x:c r="G130" s="67" t="n">
        <x:f>(E130+F130)*People!C3</x:f>
        <x:v>0</x:v>
      </x:c>
      <x:c r="H130" s="68" t="n">
        <x:f>IF(G130=0, B130*J130, D130*G130)</x:f>
        <x:v>0</x:v>
      </x:c>
      <x:c r="J130" s="69" t="n">
        <x:f>IF(C130=1,People!$D$12)+IF(C130=2,People!$E$12)+IF(C130=3,People!$F$12)+IF(C130=4,People!$G$12)+IF(C130=5,People!$H$12)+IF(C130=6,People!$I$12)+IF(C130=7,People!$J$12)+IF(C130=8,People!$K$12)</x:f>
        <x:v>0</x:v>
      </x:c>
    </x:row>
    <x:row r="131" ht="12" customHeight="1">
      <x:c r="A131" s="87"/>
      <x:c r="B131" s="91"/>
      <x:c r="C131" s="30"/>
    </x:row>
    <x:row r="132" ht="12" customHeight="1">
      <x:c r="A132" s="87" t="s">
        <x:v>100</x:v>
      </x:c>
      <x:c r="B132" s="72"/>
      <x:c r="C132" s="45"/>
      <x:c r="D132" s="64" t="n">
        <x:f>(B132*People!B11)*C132</x:f>
        <x:v>0</x:v>
      </x:c>
      <x:c r="E132" s="65"/>
      <x:c r="F132" s="73"/>
      <x:c r="G132" s="67" t="n">
        <x:f>(E132+F132)*People!C3</x:f>
        <x:v>0</x:v>
      </x:c>
      <x:c r="H132" s="68" t="n">
        <x:f>IF(G132=0, B132*J132, D132*G132)</x:f>
        <x:v>0</x:v>
      </x:c>
      <x:c r="J132" s="69" t="n">
        <x:f>IF(C132=1,People!$D$12)+IF(C132=2,People!$E$12)+IF(C132=3,People!$F$12)+IF(C132=4,People!$G$12)+IF(C132=5,People!$H$12)+IF(C132=6,People!$I$12)+IF(C132=7,People!$J$12)+IF(C132=8,People!$K$12)</x:f>
        <x:v>0</x:v>
      </x:c>
    </x:row>
    <x:row r="133" ht="12" customHeight="1">
      <x:c r="B133" s="91"/>
      <x:c r="C133" s="30"/>
    </x:row>
    <x:row r="134" ht="12" customHeight="1">
      <x:c r="A134" s="87"/>
      <x:c r="B134" s="72"/>
      <x:c r="C134" s="45"/>
      <x:c r="D134" s="64" t="n">
        <x:f>(B134*People!B11)*C134</x:f>
        <x:v>0</x:v>
      </x:c>
      <x:c r="E134" s="65"/>
      <x:c r="F134" s="73"/>
      <x:c r="G134" s="67" t="n">
        <x:f>(E134+F134)*People!C3</x:f>
        <x:v>0</x:v>
      </x:c>
      <x:c r="H134" s="68" t="n">
        <x:f>IF(G134=0, B134*J134, D134*G134)</x:f>
        <x:v>0</x:v>
      </x:c>
      <x:c r="J134" s="69" t="n">
        <x:f>IF(C134=1,People!$D$12)+IF(C134=2,People!$E$12)+IF(C134=3,People!$F$12)+IF(C134=4,People!$G$12)+IF(C134=5,People!$H$12)+IF(C134=6,People!$I$12)+IF(C134=7,People!$J$12)+IF(C134=8,People!$K$12)</x:f>
        <x:v>0</x:v>
      </x:c>
    </x:row>
    <x:row r="135" ht="12" customHeight="1">
      <x:c r="A135" s="87"/>
      <x:c r="B135"/>
      <x:c r="C135"/>
      <x:c r="D135"/>
      <x:c r="E135"/>
      <x:c r="F135"/>
      <x:c r="G135" s="67"/>
      <x:c r="H135" s="68"/>
      <x:c r="J135" s="69"/>
    </x:row>
    <x:row r="136" ht="12" customHeight="1">
      <x:c r="B136" s="91"/>
      <x:c r="C136" s="91" t="s">
        <x:v>101</x:v>
      </x:c>
      <x:c r="E136" s="95" t="s">
        <x:v>85</x:v>
      </x:c>
      <x:c r="G136" s="91" t="s">
        <x:v>102</x:v>
      </x:c>
    </x:row>
    <x:row r="137" ht="12" customHeight="1">
      <x:c r="A137" s="87" t="s">
        <x:v>103</x:v>
      </x:c>
      <x:c r="B137"/>
      <x:c r="C137" s="153"/>
      <x:c r="D137" s="98"/>
      <x:c r="E137" s="35"/>
      <x:c r="F137" s="97"/>
      <x:c r="G137" s="130">
        <x:v>33</x:v>
      </x:c>
      <x:c r="H137" s="116" t="n">
        <x:f>C137*E137*G137*B108</x:f>
        <x:v>0</x:v>
      </x:c>
    </x:row>
    <x:row r="138" ht="12" customHeight="1">
      <x:c r="A138" s="87"/>
      <x:c r="B138"/>
      <x:c r="C138"/>
      <x:c r="D138" s="64"/>
      <x:c r="E138"/>
      <x:c r="F138"/>
      <x:c r="G138" s="67"/>
      <x:c r="H138" s="68"/>
    </x:row>
    <x:row r="139" ht="12" customHeight="1">
      <x:c r="A139" s="87" t="s">
        <x:v>104</x:v>
      </x:c>
      <x:c r="C139" s="120"/>
      <x:c r="D139" s="47"/>
      <x:c r="E139" s="121"/>
      <x:c r="F139" s="39"/>
      <x:c r="G139" s="99">
        <x:v>13</x:v>
      </x:c>
      <x:c r="H139" s="116" t="n">
        <x:f>C139*E139*G139*B108</x:f>
        <x:v>0</x:v>
      </x:c>
    </x:row>
    <x:row r="140" ht="12" customHeight="1">
      <x:c r="A140" s="87"/>
      <x:c r="B140"/>
      <x:c r="C140"/>
      <x:c r="D140"/>
      <x:c r="E140"/>
      <x:c r="F140"/>
      <x:c r="G140"/>
      <x:c r="H140" s="51"/>
    </x:row>
    <x:row r="141" ht="12" customHeight="1">
      <x:c r="A141" s="87"/>
      <x:c r="B141"/>
      <x:c r="C141" s="95" t="s">
        <x:v>105</x:v>
      </x:c>
      <x:c r="D141"/>
      <x:c r="E141"/>
      <x:c r="F141"/>
      <x:c r="G141"/>
      <x:c r="H141" s="51"/>
    </x:row>
    <x:row r="142" ht="12" customHeight="1">
      <x:c r="A142" s="87" t="s">
        <x:v>106</x:v>
      </x:c>
      <x:c r="B142"/>
      <x:c r="C142" s="146"/>
      <x:c r="D142"/>
      <x:c r="E142" s="145"/>
      <x:c r="F142"/>
      <x:c r="G142" s="148">
        <x:v>75</x:v>
      </x:c>
      <x:c r="H142" s="51" t="n">
        <x:f>C142*E142*G142</x:f>
        <x:v>0</x:v>
      </x:c>
    </x:row>
    <x:row r="143" ht="12" customHeight="1">
      <x:c r="A143" s="87"/>
      <x:c r="B143"/>
      <x:c r="D143" s="147"/>
      <x:c r="E143"/>
      <x:c r="F143"/>
      <x:c r="G143"/>
      <x:c r="H143" s="51"/>
    </x:row>
    <x:row r="144" ht="12" customHeight="1">
      <x:c r="A144" s="87"/>
      <x:c r="B144"/>
      <x:c r="C144" s="95" t="s">
        <x:v>72</x:v>
      </x:c>
      <x:c r="D144"/>
      <x:c r="E144"/>
      <x:c r="F144"/>
      <x:c r="G144"/>
      <x:c r="H144" s="51"/>
    </x:row>
    <x:row r="145" ht="12" customHeight="1">
      <x:c r="A145" s="87" t="s">
        <x:v>107</x:v>
      </x:c>
      <x:c r="C145" s="52"/>
      <x:c r="D145" s="47"/>
      <x:c r="E145" s="52"/>
      <x:c r="F145" s="39"/>
      <x:c r="G145" s="99">
        <x:v>125</x:v>
      </x:c>
      <x:c r="H145" s="116" t="n">
        <x:f>C145*E145*G145</x:f>
        <x:v>0</x:v>
      </x:c>
    </x:row>
    <x:row r="147" ht="12" customHeight="1">
      <x:c r="A147" s="33" t="s">
        <x:v>13</x:v>
      </x:c>
      <x:c r="B147" s="33"/>
      <x:c r="C147" s="34"/>
      <x:c r="D147" s="34"/>
      <x:c r="E147" s="34"/>
      <x:c r="F147" s="34"/>
      <x:c r="G147" s="34"/>
      <x:c r="H147" s="33" t="s">
        <x:v>13</x:v>
      </x:c>
    </x:row>
    <x:row r="148" ht="12" customHeight="1">
      <x:c r="A148" s="74" t="s">
        <x:v>86</x:v>
      </x:c>
      <x:c r="B148" s="48" t="n">
        <x:f>D116+D118+D120+D122+D124+D126+D128+D130+D132+D134+(C142*E142)+((C137*E137)+(C139*E139))*B108</x:f>
        <x:v>0</x:v>
      </x:c>
      <x:c r="C148" s="74" t="s">
        <x:v>108</x:v>
      </x:c>
      <x:c r="D148" s="75" t="n">
        <x:f>SUM(B116:B137)</x:f>
        <x:v>0</x:v>
      </x:c>
      <x:c r="E148" s="59"/>
      <x:c r="F148" s="59"/>
      <x:c r="G148" s="60" t="s">
        <x:v>109</x:v>
      </x:c>
      <x:c r="H148" s="61" t="n">
        <x:f>SUM(H116:H145)</x:f>
        <x:v>0</x:v>
      </x:c>
    </x:row>
    <x:row r="150" ht="12" customHeight="1">
      <x:c r="A150" s="87" t="s">
        <x:v>110</x:v>
      </x:c>
      <x:c r="G150" s="114"/>
      <x:c r="H150" s="38"/>
    </x:row>
    <x:row r="151" ht="12" customHeight="1">
      <x:c r="A151" s="33" t="s">
        <x:v>13</x:v>
      </x:c>
      <x:c r="B151" s="33"/>
      <x:c r="C151" s="33"/>
    </x:row>
    <x:row r="152" ht="12" customHeight="1">
      <x:c r="A152" s="87"/>
      <x:c r="B152" s="87" t="s">
        <x:v>111</x:v>
      </x:c>
      <x:c r="C152" s="87" t="s">
        <x:v>112</x:v>
      </x:c>
      <x:c r="D152" s="87" t="s">
        <x:v>14</x:v>
      </x:c>
      <x:c r="E152" s="87" t="s">
        <x:v>15</x:v>
      </x:c>
      <x:c r="F152" s="87" t="s">
        <x:v>113</x:v>
      </x:c>
      <x:c r="H152" s="152" t="s">
        <x:v>18</x:v>
      </x:c>
    </x:row>
    <x:row r="153" ht="12" customHeight="1">
      <x:c r="A153" s="87"/>
      <x:c r="B153" s="87"/>
      <x:c r="C153" s="87"/>
      <x:c r="D153" s="87"/>
      <x:c r="E153" s="87"/>
      <x:c r="F153" s="87"/>
    </x:row>
    <x:row r="154" ht="12" customHeight="1">
      <x:c r="A154" s="87" t="s">
        <x:v>114</x:v>
      </x:c>
      <x:c r="B154" s="54"/>
      <x:c r="C154" s="76"/>
      <x:c r="D154" s="77"/>
      <x:c r="E154" s="78" t="n">
        <x:f>C12</x:f>
        <x:v>0</x:v>
      </x:c>
      <x:c r="F154" s="79"/>
      <x:c r="H154" s="38" t="n">
        <x:f>E154*F154</x:f>
        <x:v>0</x:v>
      </x:c>
    </x:row>
    <x:row r="156" ht="12" customHeight="1">
      <x:c r="A156" s="87" t="s">
        <x:v>115</x:v>
      </x:c>
      <x:c r="E156" s="154" t="s">
        <x:v>18</x:v>
      </x:c>
      <x:c r="F156" s="80"/>
      <x:c r="H156" s="38" t="n">
        <x:f>F156</x:f>
        <x:v>0</x:v>
      </x:c>
    </x:row>
    <x:row r="158" ht="12" customHeight="1">
      <x:c r="A158" s="87" t="s">
        <x:v>116</x:v>
      </x:c>
      <x:c r="B158" s="81"/>
      <x:c r="C158" s="81"/>
      <x:c r="D158" s="81"/>
      <x:c r="E158" s="154" t="s">
        <x:v>18</x:v>
      </x:c>
      <x:c r="F158" s="80"/>
      <x:c r="H158" s="38" t="n">
        <x:f>F158</x:f>
        <x:v>0</x:v>
      </x:c>
    </x:row>
    <x:row r="160" ht="12" customHeight="1">
      <x:c r="A160" s="33"/>
      <x:c r="B160" s="33"/>
      <x:c r="C160" s="34"/>
      <x:c r="D160" s="34"/>
      <x:c r="E160" s="34"/>
      <x:c r="F160" s="34"/>
      <x:c r="G160" s="34"/>
      <x:c r="H160" s="33" t="s">
        <x:v>13</x:v>
      </x:c>
    </x:row>
    <x:row r="161" ht="12" customHeight="1">
      <x:c r="B161" s="31"/>
      <x:c r="C161" s="31"/>
      <x:c r="D161" s="155"/>
      <x:c r="E161" s="156"/>
      <x:c r="F161" s="156"/>
      <x:c r="G161" s="60" t="s">
        <x:v>117</x:v>
      </x:c>
      <x:c r="H161" s="157" t="n">
        <x:f>SUM(H154+H156+H158)</x:f>
        <x:v>0</x:v>
      </x:c>
    </x:row>
    <x:row r="162" ht="12" customHeight="1">
      <x:c r="A162" s="33"/>
      <x:c r="B162" s="33"/>
      <x:c r="C162" s="34"/>
      <x:c r="D162" s="34"/>
      <x:c r="E162" s="34"/>
      <x:c r="F162" s="34"/>
      <x:c r="G162" s="34"/>
      <x:c r="H162" s="33" t="s">
        <x:v>13</x:v>
      </x:c>
    </x:row>
    <x:row r="163" ht="12" customHeight="1">
      <x:c r="A163" s="7" t="s">
        <x:v>118</x:v>
      </x:c>
      <x:c r="C163" s="34"/>
      <x:c r="D163" s="31"/>
      <x:c r="H163" s="89" t="n">
        <x:f>H110+H148+H161</x:f>
        <x:v>0</x:v>
      </x:c>
    </x:row>
    <x:row r="165" ht="12" customHeight="1">
      <x:c r="A165" s="7" t="s">
        <x:v>119</x:v>
      </x:c>
      <x:c r="E165" s="114" t="s">
        <x:v>120</x:v>
      </x:c>
      <x:c r="F165" s="49">
        <x:v>30</x:v>
      </x:c>
      <x:c r="H165" s="133" t="n">
        <x:f>H163*(F165/100)</x:f>
        <x:v>0</x:v>
      </x:c>
    </x:row>
    <x:row r="166" ht="12" customHeight="1">
      <x:c r="H166" s="82"/>
    </x:row>
    <x:row r="167" ht="12" customHeight="1">
      <x:c r="A167" s="7" t="s">
        <x:v>121</x:v>
      </x:c>
      <x:c r="E167" s="114" t="s">
        <x:v>120</x:v>
      </x:c>
      <x:c r="F167" s="49">
        <x:v>10</x:v>
      </x:c>
      <x:c r="H167" s="134" t="n">
        <x:f>(H163+H165)*(F167/100)</x:f>
        <x:v>0</x:v>
      </x:c>
    </x:row>
    <x:row r="168" ht="12" customHeight="1">
      <x:c r="H168" s="33" t="s">
        <x:v>13</x:v>
      </x:c>
    </x:row>
    <x:row r="169" ht="12" customHeight="1">
      <x:c r="A169" s="7" t="s">
        <x:v>122</x:v>
      </x:c>
      <x:c r="F169" s="151"/>
      <x:c r="H169" s="89" t="n">
        <x:f>H111+H163+H165+H167</x:f>
        <x:v>0</x:v>
      </x:c>
    </x:row>
    <x:row r="170" ht="12" customHeight="1">
      <x:c r="A170" s="7" t="s">
        <x:v>123</x:v>
      </x:c>
      <x:c r="F170" s="151">
        <x:v>5972</x:v>
      </x:c>
      <x:c r="H170" s="132" t="n">
        <x:f>H169+SUM(F172:F181)</x:f>
        <x:v>0</x:v>
      </x:c>
    </x:row>
    <x:row r="171" ht="12" customHeight="1">
      <x:c r="F171" s="151"/>
      <x:c r="H171" s="33" t="s">
        <x:v>13</x:v>
      </x:c>
    </x:row>
    <x:row r="172" s="83" customFormat="1" ht="12" customHeight="1">
      <x:c r="A172" s="17" t="str">
        <x:v>Additional Amount w/o Markup</x:v>
      </x:c>
      <x:c r="B172" s="17"/>
      <x:c r="C172" s="17"/>
      <x:c r="D172" s="17"/>
      <x:c r="E172" s="17"/>
      <x:c r="F172" s="17"/>
      <x:c r="G172" s="17"/>
      <x:c r="H172" s="33"/>
    </x:row>
    <x:row r="173" ht="12" customHeight="1">
      <x:c r="A173" s="87" t="str">
        <x:v>Additional Amount w/o Markup</x:v>
      </x:c>
      <x:c r="F173" s="90"/>
      <x:c r="H173" s="33"/>
    </x:row>
    <x:row r="174" ht="12" customHeight="1">
      <x:c r="A174" s="87" t="str">
        <x:v>Additional Amount w/o Markup</x:v>
      </x:c>
      <x:c r="F174" s="85"/>
      <x:c r="G174" s="17"/>
      <x:c r="H174" s="169"/>
    </x:row>
    <x:row r="175" ht="12" customHeight="1">
      <x:c r="A175" s="87" t="str">
        <x:v>Additional Amount w/o Markup</x:v>
      </x:c>
      <x:c r="B175" s="83"/>
      <x:c r="C175" s="83"/>
      <x:c r="D175" s="83"/>
      <x:c r="E175" s="83"/>
      <x:c r="F175" s="84"/>
      <x:c r="G175" s="83"/>
      <x:c r="H175" s="170"/>
    </x:row>
    <x:row r="176" ht="12" customHeight="1">
      <x:c r="A176" s="87" t="str">
        <x:v>Additional Amount w/o Markup</x:v>
      </x:c>
      <x:c r="B176" s="87"/>
      <x:c r="F176" s="85"/>
      <x:c r="G176" s="17"/>
      <x:c r="H176" s="169"/>
    </x:row>
    <x:row r="177" s="83" customFormat="1" ht="12" customHeight="1">
      <x:c r="A177" s="87" t="str">
        <x:v>Additional Amount w/o Markup</x:v>
      </x:c>
      <x:c r="B177" s="87"/>
      <x:c r="C177" s="17"/>
      <x:c r="D177" s="17"/>
      <x:c r="E177" s="17"/>
      <x:c r="F177" s="85"/>
      <x:c r="G177" s="17"/>
      <x:c r="H177" s="169"/>
    </x:row>
    <x:row r="178" ht="12" customHeight="1">
      <x:c r="A178" s="87" t="str">
        <x:v>Additional Amount w/o Markup</x:v>
      </x:c>
      <x:c r="B178" s="87"/>
      <x:c r="F178" s="85"/>
      <x:c r="G178" s="17"/>
      <x:c r="H178" s="169"/>
    </x:row>
    <x:row r="179" ht="12" customHeight="1">
      <x:c r="A179" s="87" t="str">
        <x:v>Additional Amount w/o Markup</x:v>
      </x:c>
      <x:c r="B179" s="87"/>
      <x:c r="F179" s="85"/>
      <x:c r="H179" s="169"/>
    </x:row>
    <x:row r="180" ht="12" customHeight="1">
      <x:c r="A180" s="7" t="str">
        <x:v>Additional Amount w/o Markup</x:v>
      </x:c>
      <x:c r="B180" s="83"/>
      <x:c r="C180" s="83"/>
      <x:c r="D180" s="83"/>
      <x:c r="E180" s="83"/>
      <x:c r="F180" s="143"/>
      <x:c r="G180" s="83"/>
      <x:c r="H180" s="83"/>
    </x:row>
    <x:row r="181" ht="12" customHeight="1">
      <x:c r="A181" t="str">
        <x:v>Additional Amount w/o Markup</x:v>
      </x:c>
      <x:c r="H181" s="33"/>
    </x:row>
    <x:row r="182" ht="12" customHeight="1">
      <x:c r="A182" s="158" t="s">
        <x:v>124</x:v>
      </x:c>
      <x:c r="F182" s="18"/>
      <x:c r="H182" s="159"/>
    </x:row>
    <x:row r="184" ht="12" customHeight="1">
      <x:c r="A184" s="15" t="s">
        <x:v>125</x:v>
      </x:c>
      <x:c r="B184" s="13" t="e">
        <x:f>H170/C12</x:f>
        <x:v>#DIV/0!</x:v>
      </x:c>
      <x:c r="C184" s="14" t="s">
        <x:v>126</x:v>
      </x:c>
      <x:c r="D184" s="16" t="n">
        <x:f>SUM((G19+G20+G21)/1000)</x:f>
        <x:v>0</x:v>
      </x:c>
      <x:c r="F184" s="18"/>
      <x:c r="G184" s="19"/>
      <x:c r="H184" s="159"/>
    </x:row>
    <x:row r="189" ht="12" customHeight="1">
      <x:c r="I189"/>
    </x:row>
    <x:row r="190" ht="12" customHeight="1">
      <x:c r="I190"/>
    </x:row>
    <x:row r="191" ht="12" customHeight="1">
      <x:c r="I191"/>
    </x:row>
    <x:row r="192" ht="12" customHeight="1">
      <x:c r="A192"/>
      <x:c r="B192"/>
      <x:c r="C192"/>
      <x:c r="D192"/>
      <x:c r="E192"/>
      <x:c r="F192"/>
      <x:c r="G192"/>
      <x:c r="H192"/>
      <x:c r="I192"/>
    </x:row>
    <x:row r="193" ht="12" customHeight="1">
      <x:c r="A193"/>
      <x:c r="B193"/>
      <x:c r="C193"/>
      <x:c r="D193"/>
      <x:c r="E193"/>
      <x:c r="F193"/>
      <x:c r="G193"/>
      <x:c r="H193"/>
      <x:c r="I193"/>
    </x:row>
    <x:row r="194" ht="12" customHeight="1">
      <x:c r="A194"/>
      <x:c r="B194"/>
      <x:c r="C194"/>
      <x:c r="D194"/>
      <x:c r="E194"/>
      <x:c r="F194"/>
      <x:c r="G194"/>
      <x:c r="H194"/>
    </x:row>
    <x:row r="195" ht="12" customHeight="1">
      <x:c r="A195"/>
      <x:c r="B195"/>
      <x:c r="C195"/>
      <x:c r="D195"/>
      <x:c r="E195"/>
      <x:c r="F195"/>
      <x:c r="G195"/>
      <x:c r="H195"/>
    </x:row>
    <x:row r="196" ht="12" customHeight="1">
      <x:c r="A196"/>
      <x:c r="B196"/>
      <x:c r="C196"/>
      <x:c r="D196"/>
      <x:c r="E196"/>
      <x:c r="F196"/>
      <x:c r="G196"/>
      <x:c r="H196"/>
    </x:row>
  </x:sheetData>
  <x:mergeCells>
    <x:mergeCell ref="G1:H1"/>
    <x:mergeCell ref="G2:H2"/>
    <x:mergeCell ref="G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0" defaultRowHeight="12"/>
  <x:cols>
    <x:col min="1" max="1" width="15.42578125" style="17" customWidth="1"/>
    <x:col min="2" max="2" width="15.7109375" style="17" customWidth="1"/>
    <x:col min="3" max="3" width="11.7109375" style="17" customWidth="1"/>
    <x:col min="4" max="4" width="10" style="17" customWidth="1"/>
    <x:col min="5" max="5" width="11.28515625" style="17" customWidth="1"/>
    <x:col min="6" max="6" width="15.140625" style="17" customWidth="1"/>
    <x:col min="7" max="7" width="10" style="17" customWidth="1"/>
    <x:col min="8" max="8" width="12.85546875" style="17" customWidth="1"/>
    <x:col min="9" max="9" width="9.5703125" style="17" customWidth="1"/>
    <x:col min="10" max="10" width="17.140625" style="17" hidden="1" customWidth="1"/>
    <x:col min="11" max="11" width="9.140625" style="17" customWidth="0"/>
    <x:col min="12" max="12" width="10.28515625" style="17" customWidth="1"/>
    <x:col min="13" max="16384" width="10" style="17" customWidth="0"/>
  </x:cols>
  <x:sheetData>
    <x:row r="1" ht="12" customHeight="1">
      <x:c r="B1" s="7" t="s">
        <x:v>0</x:v>
      </x:c>
      <x:c r="C1" s="20"/>
      <x:c r="D1" s="21"/>
      <x:c r="E1" s="22"/>
      <x:c r="F1" s="7" t="s">
        <x:v>1</x:v>
      </x:c>
      <x:c r="G1" s="173"/>
      <x:c r="H1" s="173"/>
    </x:row>
    <x:row r="2" ht="12" customHeight="1">
      <x:c r="B2" s="7" t="s">
        <x:v>2</x:v>
      </x:c>
      <x:c r="C2" s="24"/>
      <x:c r="D2" s="21"/>
      <x:c r="E2" s="22"/>
      <x:c r="F2" s="7" t="s">
        <x:v>3</x:v>
      </x:c>
      <x:c r="G2" s="173"/>
      <x:c r="H2" s="173"/>
    </x:row>
    <x:row r="3" ht="12" customHeight="1">
      <x:c r="B3" s="7" t="s">
        <x:v>4</x:v>
      </x:c>
      <x:c r="C3" s="24"/>
      <x:c r="D3" s="21"/>
      <x:c r="E3" s="22"/>
      <x:c r="F3" s="7" t="s">
        <x:v>5</x:v>
      </x:c>
      <x:c r="G3" s="173"/>
      <x:c r="H3" s="173"/>
    </x:row>
    <x:row r="4" ht="12" customHeight="1">
      <x:c r="B4" s="7" t="s">
        <x:v>6</x:v>
      </x:c>
      <x:c r="C4" s="24"/>
      <x:c r="D4" s="21"/>
      <x:c r="E4" s="22"/>
      <x:c r="F4" s="7" t="s">
        <x:v>7</x:v>
      </x:c>
      <x:c r="G4" s="23"/>
      <x:c r="H4" s="23"/>
    </x:row>
    <x:row r="5" ht="12" customHeight="1">
      <x:c r="B5" s="7" t="s">
        <x:v>3</x:v>
      </x:c>
      <x:c r="C5" s="24"/>
      <x:c r="D5" s="22"/>
      <x:c r="E5" s="22"/>
      <x:c r="F5" s="7" t="s">
        <x:v>8</x:v>
      </x:c>
      <x:c r="G5" s="23"/>
      <x:c r="H5" s="23"/>
    </x:row>
    <x:row r="6" ht="12" customHeight="1">
      <x:c r="B6" s="7" t="s">
        <x:v>5</x:v>
      </x:c>
      <x:c r="C6" s="24"/>
      <x:c r="D6" s="21"/>
      <x:c r="E6" s="22"/>
      <x:c r="F6" s="7" t="s">
        <x:v>9</x:v>
      </x:c>
      <x:c r="G6" s="25"/>
      <x:c r="H6" s="25"/>
    </x:row>
    <x:row r="7" ht="12" customHeight="1">
      <x:c r="B7" s="7" t="s">
        <x:v>10</x:v>
      </x:c>
      <x:c r="C7" s="26"/>
      <x:c r="D7" s="21"/>
      <x:c r="E7" s="22"/>
    </x:row>
    <x:row r="8" ht="12" customHeight="1">
      <x:c r="B8" s="7" t="s">
        <x:v>7</x:v>
      </x:c>
      <x:c r="C8" s="27"/>
      <x:c r="D8" s="23"/>
      <x:c r="E8" s="22"/>
      <x:c r="F8" s="28"/>
    </x:row>
    <x:row r="9" ht="12" customHeight="1">
      <x:c r="B9" s="7" t="s">
        <x:v>8</x:v>
      </x:c>
      <x:c r="C9" s="27"/>
      <x:c r="D9" s="21"/>
      <x:c r="E9" s="22"/>
      <x:c r="F9" s="29"/>
    </x:row>
    <x:row r="11" ht="12" customHeight="1">
      <x:c r="A11" s="87" t="s">
        <x:v>11</x:v>
      </x:c>
      <x:c r="D11" s="39">
        <x:v>1.1000000000000001</x:v>
      </x:c>
      <x:c r="E11" s="39">
        <x:v>1.2</x:v>
      </x:c>
      <x:c r="F11" s="131">
        <x:v>1.3</x:v>
      </x:c>
    </x:row>
    <x:row r="12" ht="12" customHeight="1">
      <x:c r="A12" s="87" t="s">
        <x:v>12</x:v>
      </x:c>
      <x:c r="C12" s="32"/>
      <x:c r="D12" s="39" t="n">
        <x:f>C12*D11</x:f>
        <x:v>0</x:v>
      </x:c>
      <x:c r="E12" s="39" t="n">
        <x:f>C12*E11</x:f>
        <x:v>0</x:v>
      </x:c>
      <x:c r="F12" s="39" t="n">
        <x:f>C12*F11</x:f>
        <x:v>0</x:v>
      </x:c>
    </x:row>
    <x:row r="13" ht="12" customHeight="1">
      <x:c r="A13" s="33" t="s">
        <x:v>13</x:v>
      </x:c>
      <x:c r="B13" s="33"/>
      <x:c r="C13" s="34"/>
      <x:c r="D13" s="34"/>
      <x:c r="E13" s="34"/>
      <x:c r="F13" s="34"/>
      <x:c r="G13" s="34"/>
      <x:c r="H13" s="34"/>
    </x:row>
    <x:row r="14" ht="12" customHeight="1">
      <x:c r="B14" s="152" t="s">
        <x:v>14</x:v>
      </x:c>
      <x:c r="C14" s="152" t="s">
        <x:v>15</x:v>
      </x:c>
      <x:c r="D14" s="152"/>
      <x:c r="E14" s="152" t="s">
        <x:v>16</x:v>
      </x:c>
      <x:c r="F14" s="152"/>
      <x:c r="G14" s="152" t="s">
        <x:v>17</x:v>
      </x:c>
      <x:c r="H14" s="152" t="s">
        <x:v>18</x:v>
      </x:c>
    </x:row>
    <x:row r="15" ht="12" customHeight="1">
      <x:c r="B15" s="91"/>
      <x:c r="C15" s="91"/>
      <x:c r="D15" s="91"/>
      <x:c r="E15" s="91"/>
      <x:c r="F15" s="91"/>
      <x:c r="G15" s="91"/>
      <x:c r="H15" s="91"/>
    </x:row>
    <x:row r="16" ht="12" customHeight="1">
      <x:c r="A16" s="87" t="s">
        <x:v>19</x:v>
      </x:c>
      <x:c r="B16" s="91" t="s">
        <x:v>20</x:v>
      </x:c>
      <x:c r="C16" s="7" t="s">
        <x:v>21</x:v>
      </x:c>
      <x:c r="E16" s="40"/>
      <x:c r="F16" s="34"/>
      <x:c r="G16" s="38"/>
      <x:c r="H16" s="38"/>
    </x:row>
    <x:row r="17" ht="12" customHeight="1">
      <x:c r="A17" s="87"/>
      <x:c r="B17" s="91" t="s">
        <x:v>22</x:v>
      </x:c>
      <x:c r="C17" s="7" t="s">
        <x:v>23</x:v>
      </x:c>
      <x:c r="E17" s="40"/>
      <x:c r="F17" s="34"/>
      <x:c r="G17" s="38"/>
      <x:c r="H17" s="38"/>
    </x:row>
    <x:row r="18" ht="12" customHeight="1">
      <x:c r="D18" s="7" t="s">
        <x:v>24</x:v>
      </x:c>
      <x:c r="E18" s="30"/>
      <x:c r="F18" s="91" t="s">
        <x:v>25</x:v>
      </x:c>
      <x:c r="G18" s="41"/>
      <x:c r="H18" s="41"/>
    </x:row>
    <x:row r="19" ht="12" customHeight="1">
      <x:c r="A19" s="35">
        <x:v>11</x:v>
      </x:c>
      <x:c r="B19" s="34" t="str">
        <x:f>IF(A19=11,"Gaco Roof 2.7",IF(A19=21,"BASF Roof 2.7",""))</x:f>
        <x:v>Gaco Roof 2.7</x:v>
      </x:c>
      <x:c r="C19" s="42"/>
      <x:c r="D19" s="43"/>
      <x:c r="E19" s="44">
        <x:v>2.25</x:v>
      </x:c>
      <x:c r="F19" s="45">
        <x:v>2900</x:v>
      </x:c>
      <x:c r="G19" s="38" t="n">
        <x:f>((C19/F19)*D19)*1000</x:f>
        <x:v>0</x:v>
      </x:c>
      <x:c r="H19" s="38" t="n">
        <x:f>E19*G19</x:f>
        <x:v>0</x:v>
      </x:c>
    </x:row>
    <x:row r="20" ht="12" customHeight="1">
      <x:c r="A20" s="35">
        <x:v>11</x:v>
      </x:c>
      <x:c r="B20" s="34" t="str">
        <x:f t="shared" ref="B20:B21" si="0">IF(A20=11,"Gaco Roof 2.7",IF(A20=21,"BASF Roof 2.7",""))</x:f>
        <x:v>Gaco Roof 2.7</x:v>
      </x:c>
      <x:c r="C20" s="42"/>
      <x:c r="D20" s="43"/>
      <x:c r="E20" s="44">
        <x:v>2.25</x:v>
      </x:c>
      <x:c r="F20" s="45">
        <x:v>2900</x:v>
      </x:c>
      <x:c r="G20" s="38" t="n">
        <x:f>((C20/F20)*D20)*1000</x:f>
        <x:v>0</x:v>
      </x:c>
      <x:c r="H20" s="38" t="n">
        <x:f>E20*G20</x:f>
        <x:v>0</x:v>
      </x:c>
    </x:row>
    <x:row r="21" ht="12" customHeight="1">
      <x:c r="A21" s="35">
        <x:v>11</x:v>
      </x:c>
      <x:c r="B21" s="34" t="str">
        <x:f t="shared" si="0"/>
        <x:v>Gaco Roof 2.7</x:v>
      </x:c>
      <x:c r="C21" s="42"/>
      <x:c r="D21" s="43"/>
      <x:c r="E21" s="44">
        <x:v>2.25</x:v>
      </x:c>
      <x:c r="F21" s="45">
        <x:v>2900</x:v>
      </x:c>
      <x:c r="G21" s="38" t="n">
        <x:f>((C21/F21)*D21)*1000</x:f>
        <x:v>0</x:v>
      </x:c>
      <x:c r="H21" s="38" t="n">
        <x:f>E21*G21</x:f>
        <x:v>0</x:v>
      </x:c>
      <x:c r="I21" s="91"/>
    </x:row>
    <x:row r="22" ht="12" customHeight="1">
      <x:c r="C22" s="39"/>
      <x:c r="D22" s="39"/>
    </x:row>
    <x:row r="23" ht="12" customHeight="1">
      <x:c r="A23" s="87" t="s">
        <x:v>26</x:v>
      </x:c>
      <x:c r="B23" s="91" t="s">
        <x:v>20</x:v>
      </x:c>
      <x:c r="C23" s="7" t="s">
        <x:v>27</x:v>
      </x:c>
      <x:c r="D23" s="39"/>
    </x:row>
    <x:row r="24" ht="12" customHeight="1">
      <x:c r="B24" s="91" t="s">
        <x:v>22</x:v>
      </x:c>
      <x:c r="C24" s="87" t="s">
        <x:v>28</x:v>
      </x:c>
      <x:c r="D24" s="87"/>
      <x:c r="E24" s="87"/>
      <x:c r="F24" s="87"/>
    </x:row>
    <x:row r="25" ht="12" customHeight="1">
      <x:c r="A25" s="114"/>
      <x:c r="C25" s="91"/>
      <x:c r="D25" s="91" t="s">
        <x:v>29</x:v>
      </x:c>
    </x:row>
    <x:row r="26" ht="12" customHeight="1">
      <x:c r="A26" s="36">
        <x:v>11</x:v>
      </x:c>
      <x:c r="B26" s="34" t="s">
        <x:v>30</x:v>
      </x:c>
      <x:c r="C26" s="42"/>
      <x:c r="D26" s="43"/>
      <x:c r="E26" s="46">
        <x:v>40.5</x:v>
      </x:c>
      <x:c r="F26" s="34">
        <x:v>707</x:v>
      </x:c>
      <x:c r="G26" s="38" t="n">
        <x:f>(((C26/100)*D26))*(1+($A$30/100))</x:f>
        <x:v>0</x:v>
      </x:c>
      <x:c r="H26" s="38" t="n">
        <x:f>E26*G26</x:f>
        <x:v>0</x:v>
      </x:c>
    </x:row>
    <x:row r="27" ht="12" customHeight="1">
      <x:c r="A27" s="36">
        <x:v>11</x:v>
      </x:c>
      <x:c r="B27" s="34" t="s">
        <x:v>30</x:v>
      </x:c>
      <x:c r="C27" s="42"/>
      <x:c r="D27" s="43"/>
      <x:c r="E27" s="46">
        <x:v>77.099999999999994</x:v>
      </x:c>
      <x:c r="F27" s="34" t="s">
        <x:v>31</x:v>
      </x:c>
      <x:c r="G27" s="38" t="n">
        <x:f t="shared" ref="G27:G28" si="1">(((C27/100)*D27))*(1+($A$30*0.01))</x:f>
        <x:v>0</x:v>
      </x:c>
      <x:c r="H27" s="38" t="n">
        <x:f>E27*G27</x:f>
        <x:v>0</x:v>
      </x:c>
    </x:row>
    <x:row r="28" ht="12" customHeight="1">
      <x:c r="A28" s="36">
        <x:v>11</x:v>
      </x:c>
      <x:c r="B28" s="34" t="str">
        <x:f t="shared" ref="B28" si="2">IF(A28=11,"Gaco Silicone",IF(A28=12,"Gaco Acrylic",IF(A28=13,"Gaco Urethane",IF(A28=21,"BASF Silicone",IF(A28=22,"BASF Acrylic",IF(A28=23,"BASF Urethane",IF(A28=4,"Aluminum",IF(A28=31,"AW Silicone",IF(A28=32,"AW Acrylic",IF(A28=33,"AW Urethane",""))))))))))</x:f>
        <x:v>Gaco Silicone</x:v>
      </x:c>
      <x:c r="C28" s="42"/>
      <x:c r="D28" s="43"/>
      <x:c r="E28" s="46">
        <x:v>42</x:v>
      </x:c>
      <x:c r="F28" s="34"/>
      <x:c r="G28" s="38">
        <x:f t="shared" si="1"/>
        <x:v>0</x:v>
      </x:c>
      <x:c r="H28" s="38" t="n">
        <x:f>E28*G28</x:f>
        <x:v>0</x:v>
      </x:c>
    </x:row>
    <x:row r="29" ht="12" customHeight="1">
      <x:c r="A29" s="114" t="s">
        <x:v>32</x:v>
      </x:c>
      <x:c r="B29" s="34"/>
      <x:c r="C29" s="47"/>
      <x:c r="D29" s="48"/>
      <x:c r="E29" s="40"/>
      <x:c r="F29" s="34"/>
      <x:c r="G29" s="38"/>
      <x:c r="H29" s="38"/>
    </x:row>
    <x:row r="30" ht="12" customHeight="1">
      <x:c r="A30" s="49">
        <x:v>10</x:v>
      </x:c>
      <x:c r="B30" s="100"/>
      <x:c r="C30" s="50"/>
      <x:c r="D30" s="51"/>
      <x:c r="E30" s="40"/>
      <x:c r="F30" s="34"/>
      <x:c r="G30" s="38"/>
      <x:c r="H30" s="38"/>
    </x:row>
    <x:row r="31" ht="12" customHeight="1">
      <x:c r="D31" s="91"/>
    </x:row>
    <x:row r="32" ht="12" customHeight="1">
      <x:c r="A32" s="87" t="s">
        <x:v>33</x:v>
      </x:c>
      <x:c r="B32" s="91" t="s">
        <x:v>22</x:v>
      </x:c>
      <x:c r="C32" s="87" t="s">
        <x:v>34</x:v>
      </x:c>
      <x:c r="D32" s="91"/>
    </x:row>
    <x:row r="33" ht="12" customHeight="1">
      <x:c r="A33" s="35">
        <x:v>1</x:v>
      </x:c>
      <x:c r="B33" s="34" t="str">
        <x:f>IF(A33=1,"Naphtha VM&amp;P",IF(A33=2,"Mineral Spirits",IF(A33=3,"Xylene","")))</x:f>
        <x:v>Naphtha VM&amp;P</x:v>
      </x:c>
      <x:c r="C33" s="50"/>
      <x:c r="D33" s="51"/>
      <x:c r="E33" s="46"/>
      <x:c r="F33" s="34"/>
      <x:c r="G33" s="38"/>
      <x:c r="H33" s="38" t="n">
        <x:f>E33*G33</x:f>
        <x:v>0</x:v>
      </x:c>
    </x:row>
    <x:row r="35" ht="12" customHeight="1">
      <x:c r="A35" s="87" t="s">
        <x:v>35</x:v>
      </x:c>
      <x:c r="B35" s="91" t="s">
        <x:v>22</x:v>
      </x:c>
      <x:c r="C35" s="87" t="s">
        <x:v>36</x:v>
      </x:c>
    </x:row>
    <x:row r="36" ht="12" customHeight="1">
      <x:c r="A36" s="35">
        <x:v>1</x:v>
      </x:c>
      <x:c r="B36" s="34" t="str">
        <x:f>IF(A36=1,"3M",IF(A36=2,"SESCO",""))</x:f>
        <x:v>3M</x:v>
      </x:c>
      <x:c r="C36" s="52"/>
      <x:c r="E36" s="46">
        <x:v>26</x:v>
      </x:c>
      <x:c r="F36" s="34"/>
      <x:c r="G36" s="53"/>
      <x:c r="H36" s="38" t="n">
        <x:f>E36*G36</x:f>
        <x:v>0</x:v>
      </x:c>
    </x:row>
    <x:row r="37" ht="12" customHeight="1">
      <x:c r="A37"/>
      <x:c r="B37"/>
      <x:c r="C37"/>
      <x:c r="D37"/>
      <x:c r="E37"/>
      <x:c r="F37"/>
      <x:c r="G37"/>
      <x:c r="H37"/>
    </x:row>
    <x:row r="38" ht="12" customHeight="1">
      <x:c r="A38" s="87" t="s">
        <x:v>37</x:v>
      </x:c>
      <x:c r="B38" s="91" t="s">
        <x:v>22</x:v>
      </x:c>
      <x:c r="C38" s="87" t="s">
        <x:v>38</x:v>
      </x:c>
      <x:c r="D38" s="87"/>
      <x:c r="E38" s="87"/>
      <x:c r="F38" s="87"/>
    </x:row>
    <x:row r="39" ht="12" customHeight="1">
      <x:c r="A39" s="35">
        <x:v>1</x:v>
      </x:c>
      <x:c r="B39" s="34" t="str">
        <x:f>IF(A39=1,"Gaco E-5320",IF(A39=2,"Red Zinc Oxide",IF(A39=3,"Black Foam","")))</x:f>
        <x:v>Gaco E-5320</x:v>
      </x:c>
      <x:c r="C39" s="36"/>
      <x:c r="E39" s="37">
        <x:v>40</x:v>
      </x:c>
      <x:c r="F39" s="34"/>
      <x:c r="G39" s="38" t="n">
        <x:f>SUM(C39/250)</x:f>
        <x:v>0</x:v>
      </x:c>
      <x:c r="H39" s="38" t="n">
        <x:f>E39*G39</x:f>
        <x:v>0</x:v>
      </x:c>
    </x:row>
    <x:row r="40" ht="12" customHeight="1">
      <x:c r="A40" s="39"/>
      <x:c r="B40" s="34"/>
      <x:c r="C40" s="39"/>
      <x:c r="E40" s="40"/>
      <x:c r="F40" s="34"/>
      <x:c r="G40" s="38"/>
      <x:c r="H40" s="38"/>
    </x:row>
    <x:row r="41" ht="12" customHeight="1">
      <x:c r="A41" s="87" t="s">
        <x:v>39</x:v>
      </x:c>
      <x:c r="B41" s="91" t="s">
        <x:v>22</x:v>
      </x:c>
      <x:c r="C41" s="7" t="s">
        <x:v>40</x:v>
      </x:c>
      <x:c r="I41"/>
    </x:row>
    <x:row r="42" ht="12" customHeight="1">
      <x:c r="A42" s="87"/>
      <x:c r="B42" s="91"/>
      <x:c r="C42" s="7" t="s">
        <x:v>41</x:v>
      </x:c>
    </x:row>
    <x:row r="43" ht="12" customHeight="1">
      <x:c r="A43" s="35">
        <x:v>2</x:v>
      </x:c>
      <x:c r="B43" s="34" t="str">
        <x:f>IF(A43=1,"Silicone Tube",IF(A43=2,"Silicone Sausage",IF(A43=3,"Urethane Tube",IF(A43=4,"Urethane Sausage",IF(A43=5,"Gaco SF-2000",IF(A43=6,"Buttergrade",""))))))</x:f>
        <x:v>Silicone Sausage</x:v>
      </x:c>
      <x:c r="C43" s="57"/>
      <x:c r="E43" s="46"/>
      <x:c r="F43" s="34"/>
      <x:c r="G43" s="141"/>
      <x:c r="H43" s="38" t="n">
        <x:f>E43*G43</x:f>
        <x:v>0</x:v>
      </x:c>
    </x:row>
    <x:row r="45" ht="12" customHeight="1">
      <x:c r="A45" s="35">
        <x:v>5</x:v>
      </x:c>
      <x:c r="B45" s="34" t="str">
        <x:f>IF(A45=1,"Silicone Tube",IF(A45=2,"Silicone Sausage",IF(A45=3,"Urethane Tube",IF(A45=4,"Urethane Sausage",IF(A45=5,"Gaco SF-2000",IF(A45=6,"Buttergrade",""))))))</x:f>
        <x:v>Gaco SF-2000</x:v>
      </x:c>
      <x:c r="C45" s="57"/>
      <x:c r="E45" s="46"/>
      <x:c r="F45" s="34"/>
      <x:c r="G45" s="144"/>
      <x:c r="H45" s="38" t="n">
        <x:f>E45*G45</x:f>
        <x:v>0</x:v>
      </x:c>
    </x:row>
    <x:row r="46" ht="12" customHeight="1">
      <x:c r="A46"/>
      <x:c r="B46"/>
      <x:c r="C46" s="95" t="s">
        <x:v>42</x:v>
      </x:c>
      <x:c r="D46"/>
      <x:c r="E46"/>
      <x:c r="F46"/>
      <x:c r="G46"/>
      <x:c r="H46"/>
    </x:row>
    <x:row r="47" ht="12" customHeight="1">
      <x:c r="A47" s="114" t="s">
        <x:v>43</x:v>
      </x:c>
      <x:c r="C47" s="52"/>
      <x:c r="E47"/>
      <x:c r="G47"/>
      <x:c r="H47" s="38"/>
    </x:row>
    <x:row r="48" ht="12" customHeight="1">
      <x:c r="D48" s="91" t="s">
        <x:v>44</x:v>
      </x:c>
      <x:c r="G48"/>
    </x:row>
    <x:row r="49" ht="12" customHeight="1">
      <x:c r="A49" s="114" t="s">
        <x:v>45</x:v>
      </x:c>
      <x:c r="B49" s="103"/>
      <x:c r="C49" s="25"/>
      <x:c r="D49" s="112"/>
      <x:c r="E49"/>
      <x:c r="F49" s="34"/>
      <x:c r="G49"/>
      <x:c r="H49" s="38"/>
    </x:row>
    <x:row r="50" ht="12" customHeight="1">
      <x:c r="D50" s="91"/>
      <x:c r="G50"/>
    </x:row>
    <x:row r="51" ht="12" customHeight="1">
      <x:c r="A51" s="114" t="s">
        <x:v>46</x:v>
      </x:c>
      <x:c r="B51" s="103"/>
      <x:c r="C51" s="25"/>
      <x:c r="D51" s="112"/>
      <x:c r="E51"/>
      <x:c r="F51" s="34"/>
      <x:c r="G51"/>
      <x:c r="H51" s="38"/>
    </x:row>
    <x:row r="52" ht="12" customHeight="1">
      <x:c r="D52" s="39"/>
      <x:c r="E52"/>
      <x:c r="G52"/>
    </x:row>
    <x:row r="53" ht="12" customHeight="1">
      <x:c r="A53" s="114" t="s">
        <x:v>47</x:v>
      </x:c>
      <x:c r="B53" s="103"/>
      <x:c r="C53" s="25"/>
      <x:c r="D53" s="112"/>
      <x:c r="E53"/>
      <x:c r="F53" s="34"/>
      <x:c r="G53"/>
      <x:c r="H53" s="38"/>
    </x:row>
    <x:row r="54" ht="12" customHeight="1">
      <x:c r="A54"/>
      <x:c r="B54"/>
      <x:c r="C54"/>
      <x:c r="D54"/>
      <x:c r="E54"/>
      <x:c r="F54"/>
      <x:c r="G54"/>
      <x:c r="H54"/>
    </x:row>
    <x:row r="55" ht="12" customHeight="1">
      <x:c r="A55" s="87" t="s">
        <x:v>48</x:v>
      </x:c>
      <x:c r="B55" s="91" t="s">
        <x:v>22</x:v>
      </x:c>
      <x:c r="C55" s="87" t="s">
        <x:v>49</x:v>
      </x:c>
    </x:row>
    <x:row r="56" ht="12" customHeight="1">
      <x:c r="A56" s="87"/>
      <x:c r="B56" s="91"/>
      <x:c r="C56" s="87" t="s">
        <x:v>50</x:v>
      </x:c>
    </x:row>
    <x:row r="57" ht="12" customHeight="1">
      <x:c r="C57" s="91" t="s">
        <x:v>15</x:v>
      </x:c>
      <x:c r="D57" s="91" t="s">
        <x:v>24</x:v>
      </x:c>
      <x:c r="E57" s="91" t="s">
        <x:v>51</x:v>
      </x:c>
    </x:row>
    <x:row r="58" ht="12" customHeight="1">
      <x:c r="A58" s="35">
        <x:v>1</x:v>
      </x:c>
      <x:c r="B58" s="115" t="str">
        <x:f>IF(A58=1,"ISO Board",IF(A58=2,"Wood Fiber",IF(A58=3,"Dens Deck",IF(A58=4,"Type X Gyp Board",IF(A58=5,"Flute Filler","")))))</x:f>
        <x:v>ISO Board</x:v>
      </x:c>
      <x:c r="C58" s="119"/>
      <x:c r="D58" s="117"/>
      <x:c r="E58" s="122">
        <x:v>30</x:v>
      </x:c>
      <x:c r="F58" s="34"/>
      <x:c r="G58" s="57"/>
      <x:c r="H58" s="38" t="n">
        <x:f>C58/100*E58</x:f>
        <x:v>0</x:v>
      </x:c>
    </x:row>
    <x:row r="59" ht="12" customHeight="1">
      <x:c r="A59" s="35">
        <x:v>1</x:v>
      </x:c>
      <x:c r="B59" s="115" t="str">
        <x:f t="shared" ref="B59:B60" si="3">IF(A59=1,"ISO Board",IF(A59=2,"Wood Fiber",IF(A59=3,"Dens Deck",IF(A59=4,"Type X Gyp Board",IF(A59=5,"Flute Filler","")))))</x:f>
        <x:v>ISO Board</x:v>
      </x:c>
      <x:c r="C59" s="119"/>
      <x:c r="D59" s="117"/>
      <x:c r="E59" s="122">
        <x:v>30</x:v>
      </x:c>
      <x:c r="F59" s="34"/>
      <x:c r="G59" s="57"/>
      <x:c r="H59" s="38" t="n">
        <x:f t="shared" ref="H59:H60" si="4">C59/100*E59</x:f>
        <x:v>0</x:v>
      </x:c>
    </x:row>
    <x:row r="60" ht="12" customHeight="1">
      <x:c r="A60" s="35">
        <x:v>1</x:v>
      </x:c>
      <x:c r="B60" s="115">
        <x:f t="shared" si="3"/>
      </x:c>
      <x:c r="C60" s="119"/>
      <x:c r="D60" s="117"/>
      <x:c r="E60" s="122">
        <x:v>30</x:v>
      </x:c>
      <x:c r="F60" s="34"/>
      <x:c r="G60" s="57"/>
      <x:c r="H60" s="38">
        <x:f t="shared" si="4"/>
        <x:v>0</x:v>
      </x:c>
    </x:row>
    <x:row r="61" ht="12" customHeight="1">
      <x:c r="C61" s="91"/>
      <x:c r="G61" s="91"/>
    </x:row>
    <x:row r="62" ht="12" customHeight="1">
      <x:c r="C62" s="91" t="s">
        <x:v>52</x:v>
      </x:c>
    </x:row>
    <x:row r="63" ht="12" customHeight="1">
      <x:c r="A63" s="87" t="s">
        <x:v>53</x:v>
      </x:c>
      <x:c r="B63" s="54"/>
      <x:c r="C63" s="49"/>
      <x:c r="E63" s="123">
        <x:v>100</x:v>
      </x:c>
      <x:c r="F63" s="34"/>
      <x:c r="G63" s="57" t="n">
        <x:f>C58/32*12</x:f>
        <x:v>0</x:v>
      </x:c>
      <x:c r="H63" s="38" t="n">
        <x:f>E63*G63/1000</x:f>
        <x:v>0</x:v>
      </x:c>
    </x:row>
    <x:row r="65" ht="12" customHeight="1">
      <x:c r="A65" s="87" t="s">
        <x:v>54</x:v>
      </x:c>
      <x:c r="B65" s="23"/>
      <x:c r="E65" s="124">
        <x:v>80</x:v>
      </x:c>
      <x:c r="G65" s="57" t="n">
        <x:f>C58/32*12</x:f>
        <x:v>0</x:v>
      </x:c>
      <x:c r="H65" s="38" t="n">
        <x:f>E65*G65/1000</x:f>
        <x:v>0</x:v>
      </x:c>
    </x:row>
    <x:row r="67" ht="12" customHeight="1">
      <x:c r="A67" s="87" t="s">
        <x:v>55</x:v>
      </x:c>
      <x:c r="B67" s="91" t="s">
        <x:v>22</x:v>
      </x:c>
      <x:c r="C67" s="87" t="s">
        <x:v>56</x:v>
      </x:c>
    </x:row>
    <x:row r="68" ht="12" customHeight="1">
      <x:c r="A68" s="87"/>
      <x:c r="B68" s="91"/>
      <x:c r="C68" s="91"/>
      <x:c r="D68" s="91" t="s">
        <x:v>24</x:v>
      </x:c>
      <x:c r="E68" s="91"/>
      <x:c r="F68" s="91" t="s">
        <x:v>32</x:v>
      </x:c>
    </x:row>
    <x:row r="69" ht="12" customHeight="1">
      <x:c r="A69" s="36">
        <x:v>3</x:v>
      </x:c>
      <x:c r="B69" s="34" t="str">
        <x:f>IF(A69=1,"20 Yard",IF(A69=2,"30 Yard",IF(A69=3,"40 Yard","")))</x:f>
        <x:v>40 Yard</x:v>
      </x:c>
      <x:c r="C69" s="127"/>
      <x:c r="D69" s="125"/>
      <x:c r="E69" s="138">
        <x:v>400</x:v>
      </x:c>
      <x:c r="F69" s="49"/>
      <x:c r="G69" s="126" t="n">
        <x:f>(IF(A69=1,C69*D69/12/700,IF(A69=2,C69*D69/12/1000,IF(A69=3,C69*D69/12/1400,""))))*(1+(F69/100))</x:f>
        <x:v>0</x:v>
      </x:c>
      <x:c r="H69" s="38" t="n">
        <x:f>G69*E69</x:f>
        <x:v>0</x:v>
      </x:c>
    </x:row>
    <x:row r="70" ht="12" customHeight="1">
      <x:c r="A70" s="39"/>
      <x:c r="B70" s="34"/>
      <x:c r="C70" s="128"/>
      <x:c r="D70" s="48"/>
      <x:c r="E70" s="40"/>
      <x:c r="F70" s="34"/>
      <x:c r="G70" s="126"/>
      <x:c r="H70" s="38"/>
    </x:row>
    <x:row r="71" ht="12" customHeight="1">
      <x:c r="A71" s="7" t="s">
        <x:v>57</x:v>
      </x:c>
      <x:c r="B71" s="91" t="s">
        <x:v>22</x:v>
      </x:c>
      <x:c r="C71" s="87" t="s">
        <x:v>58</x:v>
      </x:c>
      <x:c r="F71" s="34"/>
      <x:c r="G71" s="126"/>
      <x:c r="H71" s="38"/>
    </x:row>
    <x:row r="72" ht="12" customHeight="1">
      <x:c r="A72" s="39"/>
      <x:c r="B72" s="34"/>
      <x:c r="C72" s="135" t="s">
        <x:v>59</x:v>
      </x:c>
      <x:c r="D72" s="136" t="s">
        <x:v>60</x:v>
      </x:c>
      <x:c r="E72" s="40"/>
      <x:c r="F72" s="91" t="s">
        <x:v>32</x:v>
      </x:c>
      <x:c r="G72" s="126"/>
      <x:c r="H72" s="38"/>
    </x:row>
    <x:row r="73" ht="12" customHeight="1">
      <x:c r="A73" s="36">
        <x:v>1</x:v>
      </x:c>
      <x:c r="B73" s="34" t="str">
        <x:f>IF(A73=1,"Forklift",IF(A73=2,"Boom",IF(A73=3,"Scissor",IF(A73=4,"Articulating",""))))</x:f>
        <x:v>Forklift</x:v>
      </x:c>
      <x:c r="C73" s="127"/>
      <x:c r="D73" s="137"/>
      <x:c r="E73" s="130">
        <x:v>0</x:v>
      </x:c>
      <x:c r="F73" s="117"/>
      <x:c r="G73" s="126"/>
      <x:c r="H73" s="142" t="n">
        <x:f>D73*E73*(1+(F73/100))</x:f>
        <x:v>0</x:v>
      </x:c>
    </x:row>
    <x:row r="74" ht="12" customHeight="1">
      <x:c r="A74" s="36">
        <x:v>1</x:v>
      </x:c>
      <x:c r="B74" s="34" t="str">
        <x:f>IF(A74=1,"Forklift",IF(A74=2,"Boom",IF(A74=3,"Scissor",IF(A74=4,"Articulating",""))))</x:f>
        <x:v>Forklift</x:v>
      </x:c>
      <x:c r="C74" s="127"/>
      <x:c r="D74" s="137"/>
      <x:c r="E74" s="130">
        <x:v>0</x:v>
      </x:c>
      <x:c r="F74" s="117"/>
      <x:c r="G74" s="126"/>
      <x:c r="H74" s="142" t="n">
        <x:f>D74*E74*(1+(F74/100))</x:f>
        <x:v>0</x:v>
      </x:c>
    </x:row>
    <x:row r="75" ht="12" customHeight="1">
      <x:c r="A75" s="87"/>
      <x:c r="B75" s="34"/>
      <x:c r="C75" s="57"/>
      <x:c r="E75" s="40"/>
      <x:c r="F75" s="34"/>
      <x:c r="G75" s="53"/>
      <x:c r="H75" s="38"/>
    </x:row>
    <x:row r="76" ht="12" customHeight="1">
      <x:c r="A76" s="87" t="s">
        <x:v>61</x:v>
      </x:c>
      <x:c r="B76" s="139"/>
      <x:c r="C76" s="57"/>
      <x:c r="E76" s="140">
        <x:v>0</x:v>
      </x:c>
      <x:c r="F76" s="34"/>
      <x:c r="G76" s="141"/>
      <x:c r="H76" s="38" t="n">
        <x:f>E76*G76</x:f>
        <x:v>0</x:v>
      </x:c>
    </x:row>
    <x:row r="77" ht="12" customHeight="1">
      <x:c r="A77" s="87"/>
      <x:c r="B77" s="34"/>
      <x:c r="C77" s="57"/>
      <x:c r="E77" s="40"/>
      <x:c r="F77" s="34"/>
      <x:c r="G77" s="53"/>
      <x:c r="H77" s="38"/>
    </x:row>
    <x:row r="78" ht="12" customHeight="1">
      <x:c r="C78" s="91" t="s">
        <x:v>42</x:v>
      </x:c>
      <x:c r="D78" s="91" t="s">
        <x:v>62</x:v>
      </x:c>
    </x:row>
    <x:row r="79" ht="12" customHeight="1">
      <x:c r="A79" s="87" t="s">
        <x:v>63</x:v>
      </x:c>
      <x:c r="B79" s="108"/>
      <x:c r="C79" s="35"/>
      <x:c r="D79" s="109"/>
      <x:c r="E79" s="129">
        <x:v>5</x:v>
      </x:c>
      <x:c r="G79" s="91"/>
      <x:c r="H79" s="75" t="n">
        <x:f>C79*E79</x:f>
        <x:v>0</x:v>
      </x:c>
    </x:row>
    <x:row r="80" ht="12" customHeight="1">
      <x:c r="C80" s="91"/>
      <x:c r="G80" s="91"/>
    </x:row>
    <x:row r="81" ht="12" customHeight="1">
      <x:c r="C81" s="91" t="s">
        <x:v>42</x:v>
      </x:c>
      <x:c r="G81" s="91"/>
    </x:row>
    <x:row r="82" ht="12" customHeight="1">
      <x:c r="A82" s="87" t="s">
        <x:v>64</x:v>
      </x:c>
      <x:c r="B82" s="54"/>
      <x:c r="C82" s="55"/>
      <x:c r="E82" s="46">
        <x:v>0</x:v>
      </x:c>
      <x:c r="F82" s="34"/>
      <x:c r="G82" s="40"/>
      <x:c r="H82" s="38" t="n">
        <x:f>C82*E82</x:f>
        <x:v>0</x:v>
      </x:c>
    </x:row>
    <x:row r="83" ht="12" customHeight="1">
      <x:c r="C83" s="91"/>
    </x:row>
    <x:row r="84" ht="12" customHeight="1">
      <x:c r="A84" s="87" t="s">
        <x:v>65</x:v>
      </x:c>
      <x:c r="B84" s="25"/>
      <x:c r="C84" s="105"/>
      <x:c r="E84" s="46">
        <x:v>0</x:v>
      </x:c>
      <x:c r="H84" s="38" t="n">
        <x:f>C84*E84</x:f>
        <x:v>0</x:v>
      </x:c>
    </x:row>
    <x:row r="85" ht="12" customHeight="1">
      <x:c r="A85" s="87"/>
    </x:row>
    <x:row r="86" ht="12" customHeight="1">
      <x:c r="A86" s="87" t="s">
        <x:v>66</x:v>
      </x:c>
      <x:c r="B86" s="23"/>
      <x:c r="C86" s="102"/>
      <x:c r="E86" s="46">
        <x:v>0</x:v>
      </x:c>
      <x:c r="F86" s="34"/>
      <x:c r="G86" s="101"/>
      <x:c r="H86" s="38" t="n">
        <x:f>C86*E86</x:f>
        <x:v>0</x:v>
      </x:c>
    </x:row>
    <x:row r="87" ht="12" customHeight="1">
      <x:c r="A87"/>
      <x:c r="B87"/>
      <x:c r="C87"/>
      <x:c r="D87"/>
      <x:c r="E87"/>
      <x:c r="F87"/>
      <x:c r="G87"/>
      <x:c r="H87"/>
    </x:row>
    <x:row r="88" ht="12" customHeight="1">
      <x:c r="A88" s="104" t="s">
        <x:v>67</x:v>
      </x:c>
      <x:c r="B88" s="103"/>
      <x:c r="D88"/>
      <x:c r="E88" s="46">
        <x:v>0</x:v>
      </x:c>
      <x:c r="F88"/>
      <x:c r="G88" s="111"/>
      <x:c r="H88" s="38" t="n">
        <x:f>G88*E88</x:f>
        <x:v>0</x:v>
      </x:c>
    </x:row>
    <x:row r="89" ht="12" customHeight="1">
      <x:c r="A89" s="104"/>
      <x:c r="B89"/>
      <x:c r="D89"/>
      <x:c r="E89"/>
      <x:c r="F89"/>
      <x:c r="G89" s="95"/>
      <x:c r="H89"/>
    </x:row>
    <x:row r="90" ht="12" customHeight="1">
      <x:c r="A90" s="104" t="s">
        <x:v>68</x:v>
      </x:c>
      <x:c r="B90" s="23"/>
      <x:c r="E90" s="46">
        <x:v>0</x:v>
      </x:c>
      <x:c r="F90"/>
      <x:c r="G90" s="111"/>
      <x:c r="H90" s="38" t="n">
        <x:f>G90*E90</x:f>
        <x:v>0</x:v>
      </x:c>
    </x:row>
    <x:row r="91" ht="12" customHeight="1">
      <x:c r="A91"/>
      <x:c r="B91"/>
      <x:c r="D91"/>
      <x:c r="E91"/>
      <x:c r="F91"/>
      <x:c r="G91"/>
      <x:c r="H91"/>
    </x:row>
    <x:row r="92" ht="12" customHeight="1">
      <x:c r="A92" s="104" t="s">
        <x:v>69</x:v>
      </x:c>
      <x:c r="B92" s="23"/>
      <x:c r="E92" s="46">
        <x:v>0</x:v>
      </x:c>
      <x:c r="F92"/>
      <x:c r="G92" s="111"/>
      <x:c r="H92" s="38" t="n">
        <x:f>G92*E92</x:f>
        <x:v>0</x:v>
      </x:c>
    </x:row>
    <x:row r="93" ht="12" customHeight="1">
      <x:c r="A93" s="104"/>
      <x:c r="B93"/>
      <x:c r="D93"/>
      <x:c r="E93"/>
      <x:c r="F93"/>
      <x:c r="G93"/>
      <x:c r="H93"/>
    </x:row>
    <x:row r="94" ht="12" customHeight="1">
      <x:c r="A94" s="104" t="s">
        <x:v>70</x:v>
      </x:c>
      <x:c r="B94" s="103"/>
      <x:c r="E94" s="46">
        <x:v>0</x:v>
      </x:c>
      <x:c r="F94"/>
      <x:c r="G94" s="111"/>
      <x:c r="H94" s="38" t="n">
        <x:f>G94*E94</x:f>
        <x:v>0</x:v>
      </x:c>
    </x:row>
    <x:row r="95" ht="12" customHeight="1">
      <x:c r="A95" s="104"/>
      <x:c r="B95"/>
      <x:c r="D95"/>
      <x:c r="E95"/>
      <x:c r="F95"/>
      <x:c r="G95"/>
      <x:c r="H95"/>
    </x:row>
    <x:row r="96" ht="12" customHeight="1">
      <x:c r="A96" s="104" t="s">
        <x:v>71</x:v>
      </x:c>
      <x:c r="B96" s="23"/>
      <x:c r="E96" s="46">
        <x:v>0</x:v>
      </x:c>
      <x:c r="F96"/>
      <x:c r="G96" s="111"/>
      <x:c r="H96" s="38" t="n">
        <x:f>G96*E96</x:f>
        <x:v>0</x:v>
      </x:c>
    </x:row>
    <x:row r="98" ht="12" customHeight="1">
      <x:c r="C98" s="91" t="s">
        <x:v>72</x:v>
      </x:c>
    </x:row>
    <x:row r="99" ht="12" customHeight="1">
      <x:c r="A99" s="87" t="s">
        <x:v>73</x:v>
      </x:c>
      <x:c r="B99" s="56"/>
      <x:c r="C99" s="55"/>
      <x:c r="E99" s="46">
        <x:v>30</x:v>
      </x:c>
      <x:c r="F99" s="34"/>
      <x:c r="G99" s="53"/>
      <x:c r="H99" s="38" t="n">
        <x:f>C99*E99</x:f>
        <x:v>0</x:v>
      </x:c>
    </x:row>
    <x:row r="101" ht="12" customHeight="1">
      <x:c r="A101" s="87" t="s">
        <x:v>74</x:v>
      </x:c>
      <x:c r="B101" s="24"/>
      <x:c r="C101" s="57"/>
      <x:c r="E101" s="46">
        <x:v>0</x:v>
      </x:c>
      <x:c r="F101" s="34"/>
      <x:c r="H101" s="38" t="n">
        <x:f>E101</x:f>
        <x:v>0</x:v>
      </x:c>
    </x:row>
    <x:row r="103" ht="12" customHeight="1">
      <x:c r="A103" s="87" t="s">
        <x:v>75</x:v>
      </x:c>
      <x:c r="B103" s="23"/>
      <x:c r="C103" s="57"/>
      <x:c r="E103" s="46">
        <x:v>0</x:v>
      </x:c>
      <x:c r="F103" s="34"/>
      <x:c r="H103" s="38" t="n">
        <x:f>E103</x:f>
        <x:v>0</x:v>
      </x:c>
    </x:row>
    <x:row r="104" ht="12" customHeight="1">
      <x:c r="A104" s="87"/>
      <x:c r="B104" s="113"/>
      <x:c r="C104" s="57"/>
      <x:c r="E104"/>
      <x:c r="F104" s="34"/>
      <x:c r="G104" s="53"/>
      <x:c r="H104" s="38"/>
    </x:row>
    <x:row r="105" ht="12" customHeight="1">
      <x:c r="A105"/>
      <x:c r="B105" s="95" t="s">
        <x:v>76</x:v>
      </x:c>
      <x:c r="C105" s="95" t="s">
        <x:v>77</x:v>
      </x:c>
      <x:c r="D105"/>
      <x:c r="E105"/>
      <x:c r="F105"/>
      <x:c r="G105"/>
      <x:c r="H105"/>
    </x:row>
    <x:row r="106" ht="12" customHeight="1">
      <x:c r="A106" s="87" t="s">
        <x:v>78</x:v>
      </x:c>
      <x:c r="B106" s="58"/>
      <x:c r="C106" s="55"/>
      <x:c r="D106" s="18"/>
      <x:c r="E106" s="46">
        <x:v>0.65</x:v>
      </x:c>
      <x:c r="F106" s="34"/>
      <x:c r="G106" s="53"/>
      <x:c r="H106" s="38" t="n">
        <x:f>B106*C106*E106</x:f>
        <x:v>0</x:v>
      </x:c>
    </x:row>
    <x:row r="108" ht="12" customHeight="1">
      <x:c r="A108" s="87" t="s">
        <x:v>79</x:v>
      </x:c>
      <x:c r="B108" s="58"/>
      <x:c r="C108" s="55"/>
      <x:c r="D108" s="18"/>
      <x:c r="E108" s="46">
        <x:v>1.1499999999999999</x:v>
      </x:c>
      <x:c r="F108" s="34"/>
      <x:c r="G108" s="53"/>
      <x:c r="H108" s="38" t="n">
        <x:f>B108*C108*E108</x:f>
        <x:v>0</x:v>
      </x:c>
    </x:row>
    <x:row r="109" ht="12" customHeight="1">
      <x:c r="A109" s="33"/>
      <x:c r="B109" s="33"/>
      <x:c r="C109" s="34"/>
      <x:c r="D109" s="34"/>
      <x:c r="E109" s="34"/>
      <x:c r="F109" s="34"/>
      <x:c r="G109" s="34"/>
      <x:c r="H109" s="33" t="s">
        <x:v>80</x:v>
      </x:c>
    </x:row>
    <x:row r="110" ht="12" customHeight="1">
      <x:c r="B110" s="31"/>
      <x:c r="F110" s="59"/>
      <x:c r="G110" s="60" t="s">
        <x:v>81</x:v>
      </x:c>
      <x:c r="H110" s="61" t="n">
        <x:f>SUM(H19:H108)</x:f>
        <x:v>0</x:v>
      </x:c>
    </x:row>
    <x:row r="111" ht="12" customHeight="1">
      <x:c r="B111" s="31"/>
      <x:c r="E111" s="18"/>
      <x:c r="F111" s="60" t="s">
        <x:v>82</x:v>
      </x:c>
      <x:c r="G111" s="88">
        <x:v>0.06</x:v>
      </x:c>
      <x:c r="H111" s="61" t="n">
        <x:f>(H110*G111)</x:f>
        <x:v>0</x:v>
      </x:c>
    </x:row>
    <x:row r="112" ht="12" customHeight="1">
      <x:c r="A112" s="87" t="s">
        <x:v>83</x:v>
      </x:c>
    </x:row>
    <x:row r="113" ht="12.75" customHeight="1">
      <x:c r="A113" s="33" t="s">
        <x:v>13</x:v>
      </x:c>
      <x:c r="B113" s="33"/>
    </x:row>
    <x:row r="114" ht="36.75" customHeight="1">
      <x:c r="B114" s="62" t="s">
        <x:v>84</x:v>
      </x:c>
      <x:c r="C114" s="62" t="s">
        <x:v>85</x:v>
      </x:c>
      <x:c r="D114" s="62" t="s">
        <x:v>86</x:v>
      </x:c>
      <x:c r="E114" s="62" t="s">
        <x:v>87</x:v>
      </x:c>
      <x:c r="F114" s="62" t="s">
        <x:v>88</x:v>
      </x:c>
      <x:c r="G114" s="62" t="s">
        <x:v>89</x:v>
      </x:c>
      <x:c r="H114" s="62" t="s">
        <x:v>18</x:v>
      </x:c>
      <x:c r="J114" s="62" t="s">
        <x:v>90</x:v>
      </x:c>
    </x:row>
    <x:row r="115" ht="12" customHeight="1">
      <x:c r="D115" s="91"/>
      <x:c r="F115" s="91"/>
    </x:row>
    <x:row r="116" ht="12" customHeight="1">
      <x:c r="A116" s="87" t="s">
        <x:v>91</x:v>
      </x:c>
      <x:c r="B116" s="63"/>
      <x:c r="C116" s="45"/>
      <x:c r="D116" s="64" t="n">
        <x:f>(B116*People!B11)*C116</x:f>
        <x:v>0</x:v>
      </x:c>
      <x:c r="E116" s="65"/>
      <x:c r="F116" s="66"/>
      <x:c r="G116" s="67" t="n">
        <x:f>(E116+F116)*People!C3</x:f>
        <x:v>0</x:v>
      </x:c>
      <x:c r="H116" s="68" t="n">
        <x:f>IF(G116=0, B116*J116, D116*G116)</x:f>
        <x:v>0</x:v>
      </x:c>
      <x:c r="J116" s="69" t="n">
        <x:f>IF(C116=1,People!$D$12)+IF(C116=2,People!$E$12)+IF(C116=3,People!$F$12)+IF(C116=4,People!$G$12)+IF(C116=5,People!$H$12)+IF(C116=6,People!$I$12)+IF(C116=7,People!$J$12)+IF(C116=8,People!$K$12)</x:f>
        <x:v>0</x:v>
      </x:c>
      <x:c r="K116" s="70"/>
    </x:row>
    <x:row r="117" ht="12" customHeight="1">
      <x:c r="A117" s="87" t="s">
        <x:v>92</x:v>
      </x:c>
      <x:c r="B117" s="34"/>
      <x:c r="C117" s="30"/>
      <x:c r="E117" s="91"/>
      <x:c r="J117" s="71"/>
      <x:c r="K117" s="70"/>
    </x:row>
    <x:row r="118" ht="12" customHeight="1">
      <x:c r="A118" s="87" t="s">
        <x:v>93</x:v>
      </x:c>
      <x:c r="B118" s="72"/>
      <x:c r="C118" s="45"/>
      <x:c r="D118" s="64" t="n">
        <x:f>(B118*People!B11)*C118</x:f>
        <x:v>0</x:v>
      </x:c>
      <x:c r="E118" s="65"/>
      <x:c r="F118" s="73"/>
      <x:c r="G118" s="67" t="n">
        <x:f>(E118+F118)*People!C3</x:f>
        <x:v>0</x:v>
      </x:c>
      <x:c r="H118" s="68" t="n">
        <x:f>IF(G118=0, B118*J118, D118*G118)</x:f>
        <x:v>0</x:v>
      </x:c>
      <x:c r="J118" s="69" t="n">
        <x:f>IF(C118=1,People!$D$12)+IF(C118=2,People!$E$12)+IF(C118=3,People!$F$12)+IF(C118=4,People!$G$12)+IF(C118=5,People!$H$12)+IF(C118=6,People!$I$12)+IF(C118=7,People!$J$12)+IF(C118=8,People!$K$12)</x:f>
        <x:v>0</x:v>
      </x:c>
      <x:c r="K118" s="70"/>
    </x:row>
    <x:row r="119" ht="12" customHeight="1">
      <x:c r="B119" s="91"/>
      <x:c r="C119" s="30"/>
      <x:c r="J119" s="71"/>
      <x:c r="K119" s="70"/>
    </x:row>
    <x:row r="120" ht="12" customHeight="1">
      <x:c r="A120" s="87" t="s">
        <x:v>94</x:v>
      </x:c>
      <x:c r="B120" s="72"/>
      <x:c r="C120" s="45"/>
      <x:c r="D120" s="64" t="n">
        <x:f>(B120*People!B11)*C120</x:f>
        <x:v>0</x:v>
      </x:c>
      <x:c r="E120" s="65"/>
      <x:c r="F120" s="73"/>
      <x:c r="G120" s="67" t="n">
        <x:f>(E120+F120)*People!C3</x:f>
        <x:v>0</x:v>
      </x:c>
      <x:c r="H120" s="68" t="n">
        <x:f>IF(G120=0, B120*J120, D120*G120)</x:f>
        <x:v>0</x:v>
      </x:c>
      <x:c r="J120" s="69" t="n">
        <x:f>IF(C120=1,People!$D$12)+IF(C120=2,People!$E$12)+IF(C120=3,People!$F$12)+IF(C120=4,People!$G$12)+IF(C120=5,People!$H$12)+IF(C120=6,People!$I$12)+IF(C120=7,People!$J$12)+IF(C120=8,People!$K$12)</x:f>
        <x:v>0</x:v>
      </x:c>
      <x:c r="K120" s="70"/>
    </x:row>
    <x:row r="121" ht="12" customHeight="1">
      <x:c r="A121" s="87" t="s">
        <x:v>95</x:v>
      </x:c>
      <x:c r="B121" s="91"/>
      <x:c r="C121" s="30"/>
      <x:c r="J121" s="71"/>
      <x:c r="K121" s="70"/>
    </x:row>
    <x:row r="122" ht="12" customHeight="1">
      <x:c r="A122" s="87" t="s">
        <x:v>96</x:v>
      </x:c>
      <x:c r="B122" s="72"/>
      <x:c r="C122" s="45"/>
      <x:c r="D122" s="64" t="n">
        <x:f>(B122*People!B11)*C122</x:f>
        <x:v>0</x:v>
      </x:c>
      <x:c r="E122" s="65"/>
      <x:c r="F122" s="73"/>
      <x:c r="G122" s="67" t="n">
        <x:f>(E122+F122)*People!C3</x:f>
        <x:v>0</x:v>
      </x:c>
      <x:c r="H122" s="68" t="n">
        <x:f>IF(G122=0, B122*J122, D122*G122)</x:f>
        <x:v>0</x:v>
      </x:c>
      <x:c r="J122" s="69" t="n">
        <x:f>IF(C122=1,People!$D$12)+IF(C122=2,People!$E$12)+IF(C122=3,People!$F$12)+IF(C122=4,People!$G$12)+IF(C122=5,People!$H$12)+IF(C122=6,People!$I$12)+IF(C122=7,People!$J$12)+IF(C122=8,People!$K$12)</x:f>
        <x:v>0</x:v>
      </x:c>
      <x:c r="K122" s="70"/>
    </x:row>
    <x:row r="123" ht="12" customHeight="1">
      <x:c r="B123" s="91"/>
      <x:c r="C123" s="30"/>
      <x:c r="J123" s="71"/>
    </x:row>
    <x:row r="124" ht="12" customHeight="1">
      <x:c r="A124" s="87" t="s">
        <x:v>37</x:v>
      </x:c>
      <x:c r="B124" s="72"/>
      <x:c r="C124" s="45"/>
      <x:c r="D124" s="64" t="n">
        <x:f>(B124*People!B11)*C124</x:f>
        <x:v>0</x:v>
      </x:c>
      <x:c r="E124" s="65"/>
      <x:c r="F124" s="73"/>
      <x:c r="G124" s="67" t="n">
        <x:f>(E124+F124)*People!C3</x:f>
        <x:v>0</x:v>
      </x:c>
      <x:c r="H124" s="68" t="n">
        <x:f>IF(G124=0, B124*J124, D124*G124)</x:f>
        <x:v>0</x:v>
      </x:c>
      <x:c r="J124" s="69" t="n">
        <x:f>IF(C124=1,People!$D$12)+IF(C124=2,People!$E$12)+IF(C124=3,People!$F$12)+IF(C124=4,People!$G$12)+IF(C124=5,People!$H$12)+IF(C124=6,People!$I$12)+IF(C124=7,People!$J$12)+IF(C124=8,People!$K$12)</x:f>
        <x:v>0</x:v>
      </x:c>
    </x:row>
    <x:row r="125" ht="12" customHeight="1">
      <x:c r="B125" s="91"/>
      <x:c r="C125" s="30"/>
      <x:c r="J125" s="71"/>
    </x:row>
    <x:row r="126" ht="12" customHeight="1">
      <x:c r="A126" s="87" t="s">
        <x:v>97</x:v>
      </x:c>
      <x:c r="B126" s="72"/>
      <x:c r="C126" s="45"/>
      <x:c r="D126" s="64" t="n">
        <x:f>(B126*People!B11)*C126</x:f>
        <x:v>0</x:v>
      </x:c>
      <x:c r="E126" s="65"/>
      <x:c r="F126" s="73"/>
      <x:c r="G126" s="67" t="n">
        <x:f>(E126+F126)*People!C3</x:f>
        <x:v>0</x:v>
      </x:c>
      <x:c r="H126" s="68" t="n">
        <x:f>IF(G126=0, B126*J126, D126*G126)</x:f>
        <x:v>0</x:v>
      </x:c>
      <x:c r="J126" s="69" t="n">
        <x:f>IF(C126=1,People!$D$12)+IF(C126=2,People!$E$12)+IF(C126=3,People!$F$12)+IF(C126=4,People!$G$12)+IF(C126=5,People!$H$12)+IF(C126=6,People!$I$12)+IF(C126=7,People!$J$12)+IF(C126=8,People!$K$12)</x:f>
        <x:v>0</x:v>
      </x:c>
    </x:row>
    <x:row r="127" ht="12" customHeight="1">
      <x:c r="A127"/>
      <x:c r="B127"/>
      <x:c r="C127"/>
      <x:c r="D127"/>
      <x:c r="E127"/>
      <x:c r="F127"/>
      <x:c r="G127"/>
      <x:c r="H127"/>
      <x:c r="J127" s="69"/>
    </x:row>
    <x:row r="128" ht="12" customHeight="1">
      <x:c r="A128" s="87" t="s">
        <x:v>98</x:v>
      </x:c>
      <x:c r="B128" s="72"/>
      <x:c r="C128" s="45"/>
      <x:c r="D128" s="64" t="n">
        <x:f>(B128*People!B11)*C128</x:f>
        <x:v>0</x:v>
      </x:c>
      <x:c r="E128" s="65"/>
      <x:c r="F128" s="73"/>
      <x:c r="G128" s="67" t="n">
        <x:f>(E128+F128)*People!C3</x:f>
        <x:v>0</x:v>
      </x:c>
      <x:c r="H128" s="68" t="n">
        <x:f>IF(G128=0, B128*J128, D128*G128)</x:f>
        <x:v>0</x:v>
      </x:c>
      <x:c r="J128" s="69" t="n">
        <x:f>IF(C128=1,People!$D$12)+IF(C128=2,People!$E$12)+IF(C128=3,People!$F$12)+IF(C128=4,People!$G$12)+IF(C128=5,People!$H$12)+IF(C128=6,People!$I$12)+IF(C128=7,People!$J$12)+IF(C128=8,People!$K$12)</x:f>
        <x:v>0</x:v>
      </x:c>
    </x:row>
    <x:row r="129" ht="12" customHeight="1">
      <x:c r="B129" s="91"/>
      <x:c r="C129" s="30"/>
    </x:row>
    <x:row r="130" ht="12" customHeight="1">
      <x:c r="A130" s="87" t="s">
        <x:v>99</x:v>
      </x:c>
      <x:c r="B130" s="72"/>
      <x:c r="C130" s="45"/>
      <x:c r="D130" s="64" t="n">
        <x:f>(B130*People!B11)*C130</x:f>
        <x:v>0</x:v>
      </x:c>
      <x:c r="E130" s="65"/>
      <x:c r="F130" s="73"/>
      <x:c r="G130" s="67" t="n">
        <x:f>(E130+F130)*People!C3</x:f>
        <x:v>0</x:v>
      </x:c>
      <x:c r="H130" s="68" t="n">
        <x:f>IF(G130=0, B130*J130, D130*G130)</x:f>
        <x:v>0</x:v>
      </x:c>
      <x:c r="J130" s="69" t="n">
        <x:f>IF(C130=1,People!$D$12)+IF(C130=2,People!$E$12)+IF(C130=3,People!$F$12)+IF(C130=4,People!$G$12)+IF(C130=5,People!$H$12)+IF(C130=6,People!$I$12)+IF(C130=7,People!$J$12)+IF(C130=8,People!$K$12)</x:f>
        <x:v>0</x:v>
      </x:c>
    </x:row>
    <x:row r="131" ht="12" customHeight="1">
      <x:c r="A131" s="87"/>
      <x:c r="B131" s="91"/>
      <x:c r="C131" s="30"/>
    </x:row>
    <x:row r="132" ht="12" customHeight="1">
      <x:c r="A132" s="87" t="s">
        <x:v>100</x:v>
      </x:c>
      <x:c r="B132" s="72"/>
      <x:c r="C132" s="45"/>
      <x:c r="D132" s="64" t="n">
        <x:f>(B132*People!B11)*C132</x:f>
        <x:v>0</x:v>
      </x:c>
      <x:c r="E132" s="65"/>
      <x:c r="F132" s="73"/>
      <x:c r="G132" s="67" t="n">
        <x:f>(E132+F132)*People!C3</x:f>
        <x:v>0</x:v>
      </x:c>
      <x:c r="H132" s="68" t="n">
        <x:f>IF(G132=0, B132*J132, D132*G132)</x:f>
        <x:v>0</x:v>
      </x:c>
      <x:c r="J132" s="69" t="n">
        <x:f>IF(C132=1,People!$D$12)+IF(C132=2,People!$E$12)+IF(C132=3,People!$F$12)+IF(C132=4,People!$G$12)+IF(C132=5,People!$H$12)+IF(C132=6,People!$I$12)+IF(C132=7,People!$J$12)+IF(C132=8,People!$K$12)</x:f>
        <x:v>0</x:v>
      </x:c>
    </x:row>
    <x:row r="133" ht="12" customHeight="1">
      <x:c r="B133" s="91"/>
      <x:c r="C133" s="30"/>
    </x:row>
    <x:row r="134" ht="12" customHeight="1">
      <x:c r="A134" s="87"/>
      <x:c r="B134" s="72"/>
      <x:c r="C134" s="45"/>
      <x:c r="D134" s="64" t="n">
        <x:f>(B134*People!B11)*C134</x:f>
        <x:v>0</x:v>
      </x:c>
      <x:c r="E134" s="65"/>
      <x:c r="F134" s="73"/>
      <x:c r="G134" s="67" t="n">
        <x:f>(E134+F134)*People!C3</x:f>
        <x:v>0</x:v>
      </x:c>
      <x:c r="H134" s="68" t="n">
        <x:f>IF(G134=0, B134*J134, D134*G134)</x:f>
        <x:v>0</x:v>
      </x:c>
      <x:c r="J134" s="69" t="n">
        <x:f>IF(C134=1,People!$D$12)+IF(C134=2,People!$E$12)+IF(C134=3,People!$F$12)+IF(C134=4,People!$G$12)+IF(C134=5,People!$H$12)+IF(C134=6,People!$I$12)+IF(C134=7,People!$J$12)+IF(C134=8,People!$K$12)</x:f>
        <x:v>0</x:v>
      </x:c>
    </x:row>
    <x:row r="135" ht="12" customHeight="1">
      <x:c r="A135" s="87"/>
      <x:c r="B135"/>
      <x:c r="C135"/>
      <x:c r="D135"/>
      <x:c r="E135"/>
      <x:c r="F135"/>
      <x:c r="G135" s="67"/>
      <x:c r="H135" s="68"/>
      <x:c r="J135" s="69"/>
    </x:row>
    <x:row r="136" ht="12" customHeight="1">
      <x:c r="B136" s="91"/>
      <x:c r="C136" s="91" t="s">
        <x:v>101</x:v>
      </x:c>
      <x:c r="E136" s="95" t="s">
        <x:v>85</x:v>
      </x:c>
      <x:c r="G136" s="91" t="s">
        <x:v>102</x:v>
      </x:c>
    </x:row>
    <x:row r="137" ht="12" customHeight="1">
      <x:c r="A137" s="87" t="s">
        <x:v>103</x:v>
      </x:c>
      <x:c r="B137"/>
      <x:c r="C137" s="153"/>
      <x:c r="D137" s="98"/>
      <x:c r="E137" s="35"/>
      <x:c r="F137" s="97"/>
      <x:c r="G137" s="130">
        <x:v>33</x:v>
      </x:c>
      <x:c r="H137" s="116" t="n">
        <x:f>C137*E137*G137*B108</x:f>
        <x:v>0</x:v>
      </x:c>
    </x:row>
    <x:row r="138" ht="12" customHeight="1">
      <x:c r="A138" s="87"/>
      <x:c r="B138"/>
      <x:c r="C138"/>
      <x:c r="D138" s="64"/>
      <x:c r="E138"/>
      <x:c r="F138"/>
      <x:c r="G138" s="67"/>
      <x:c r="H138" s="68"/>
    </x:row>
    <x:row r="139" ht="12" customHeight="1">
      <x:c r="A139" s="87" t="s">
        <x:v>104</x:v>
      </x:c>
      <x:c r="C139" s="120"/>
      <x:c r="D139" s="47"/>
      <x:c r="E139" s="121"/>
      <x:c r="F139" s="39"/>
      <x:c r="G139" s="99">
        <x:v>13</x:v>
      </x:c>
      <x:c r="H139" s="116" t="n">
        <x:f>C139*E139*G139*B108</x:f>
        <x:v>0</x:v>
      </x:c>
    </x:row>
    <x:row r="140" ht="12" customHeight="1">
      <x:c r="A140" s="87"/>
      <x:c r="B140"/>
      <x:c r="C140"/>
      <x:c r="D140"/>
      <x:c r="E140"/>
      <x:c r="F140"/>
      <x:c r="G140"/>
      <x:c r="H140" s="51"/>
    </x:row>
    <x:row r="141" ht="12" customHeight="1">
      <x:c r="A141" s="87"/>
      <x:c r="B141"/>
      <x:c r="C141" s="95" t="s">
        <x:v>105</x:v>
      </x:c>
      <x:c r="D141"/>
      <x:c r="E141"/>
      <x:c r="F141"/>
      <x:c r="G141"/>
      <x:c r="H141" s="51"/>
    </x:row>
    <x:row r="142" ht="12" customHeight="1">
      <x:c r="A142" s="87" t="s">
        <x:v>106</x:v>
      </x:c>
      <x:c r="B142"/>
      <x:c r="C142" s="146"/>
      <x:c r="D142"/>
      <x:c r="E142" s="145"/>
      <x:c r="F142"/>
      <x:c r="G142" s="148">
        <x:v>75</x:v>
      </x:c>
      <x:c r="H142" s="51" t="n">
        <x:f>C142*E142*G142</x:f>
        <x:v>0</x:v>
      </x:c>
    </x:row>
    <x:row r="143" ht="12" customHeight="1">
      <x:c r="A143" s="87"/>
      <x:c r="B143"/>
      <x:c r="D143" s="147"/>
      <x:c r="E143"/>
      <x:c r="F143"/>
      <x:c r="G143"/>
      <x:c r="H143" s="51"/>
    </x:row>
    <x:row r="144" ht="12" customHeight="1">
      <x:c r="A144" s="87"/>
      <x:c r="B144"/>
      <x:c r="C144" s="95" t="s">
        <x:v>72</x:v>
      </x:c>
      <x:c r="D144"/>
      <x:c r="E144"/>
      <x:c r="F144"/>
      <x:c r="G144"/>
      <x:c r="H144" s="51"/>
    </x:row>
    <x:row r="145" ht="12" customHeight="1">
      <x:c r="A145" s="87" t="s">
        <x:v>107</x:v>
      </x:c>
      <x:c r="C145" s="52"/>
      <x:c r="D145" s="47"/>
      <x:c r="E145" s="52"/>
      <x:c r="F145" s="39"/>
      <x:c r="G145" s="99">
        <x:v>125</x:v>
      </x:c>
      <x:c r="H145" s="116" t="n">
        <x:f>C145*E145*G145</x:f>
        <x:v>0</x:v>
      </x:c>
    </x:row>
    <x:row r="147" ht="12" customHeight="1">
      <x:c r="A147" s="33" t="s">
        <x:v>13</x:v>
      </x:c>
      <x:c r="B147" s="33"/>
      <x:c r="C147" s="34"/>
      <x:c r="D147" s="34"/>
      <x:c r="E147" s="34"/>
      <x:c r="F147" s="34"/>
      <x:c r="G147" s="34"/>
      <x:c r="H147" s="33" t="s">
        <x:v>13</x:v>
      </x:c>
    </x:row>
    <x:row r="148" ht="12" customHeight="1">
      <x:c r="A148" s="74" t="s">
        <x:v>86</x:v>
      </x:c>
      <x:c r="B148" s="48" t="n">
        <x:f>D116+D118+D120+D122+D124+D126+D128+D130+D132+D134+(C142*E142)+((C137*E137)+(C139*E139))*B108</x:f>
        <x:v>0</x:v>
      </x:c>
      <x:c r="C148" s="74" t="s">
        <x:v>108</x:v>
      </x:c>
      <x:c r="D148" s="75" t="n">
        <x:f>SUM(B116:B137)</x:f>
        <x:v>0</x:v>
      </x:c>
      <x:c r="E148" s="59"/>
      <x:c r="F148" s="59"/>
      <x:c r="G148" s="60" t="s">
        <x:v>109</x:v>
      </x:c>
      <x:c r="H148" s="61" t="n">
        <x:f>SUM(H116:H145)</x:f>
        <x:v>0</x:v>
      </x:c>
    </x:row>
    <x:row r="150" ht="12" customHeight="1">
      <x:c r="A150" s="87" t="s">
        <x:v>110</x:v>
      </x:c>
      <x:c r="G150" s="114"/>
      <x:c r="H150" s="38"/>
    </x:row>
    <x:row r="151" ht="12" customHeight="1">
      <x:c r="A151" s="33" t="s">
        <x:v>13</x:v>
      </x:c>
      <x:c r="B151" s="33"/>
      <x:c r="C151" s="33"/>
    </x:row>
    <x:row r="152" ht="12" customHeight="1">
      <x:c r="A152" s="87"/>
      <x:c r="B152" s="87" t="s">
        <x:v>111</x:v>
      </x:c>
      <x:c r="C152" s="87" t="s">
        <x:v>112</x:v>
      </x:c>
      <x:c r="D152" s="87" t="s">
        <x:v>14</x:v>
      </x:c>
      <x:c r="E152" s="87" t="s">
        <x:v>15</x:v>
      </x:c>
      <x:c r="F152" s="87" t="s">
        <x:v>113</x:v>
      </x:c>
      <x:c r="H152" s="152" t="s">
        <x:v>18</x:v>
      </x:c>
    </x:row>
    <x:row r="153" ht="12" customHeight="1">
      <x:c r="A153" s="87"/>
      <x:c r="B153" s="87"/>
      <x:c r="C153" s="87"/>
      <x:c r="D153" s="87"/>
      <x:c r="E153" s="87"/>
      <x:c r="F153" s="87"/>
    </x:row>
    <x:row r="154" ht="12" customHeight="1">
      <x:c r="A154" s="87" t="s">
        <x:v>114</x:v>
      </x:c>
      <x:c r="B154" s="54"/>
      <x:c r="C154" s="76"/>
      <x:c r="D154" s="77"/>
      <x:c r="E154" s="78" t="n">
        <x:f>C12</x:f>
        <x:v>0</x:v>
      </x:c>
      <x:c r="F154" s="79"/>
      <x:c r="H154" s="38" t="n">
        <x:f>E154*F154</x:f>
        <x:v>0</x:v>
      </x:c>
    </x:row>
    <x:row r="156" ht="12" customHeight="1">
      <x:c r="A156" s="87" t="s">
        <x:v>115</x:v>
      </x:c>
      <x:c r="E156" s="154" t="s">
        <x:v>18</x:v>
      </x:c>
      <x:c r="F156" s="80"/>
      <x:c r="H156" s="38" t="n">
        <x:f>F156</x:f>
        <x:v>0</x:v>
      </x:c>
    </x:row>
    <x:row r="158" ht="12" customHeight="1">
      <x:c r="A158" s="87" t="s">
        <x:v>116</x:v>
      </x:c>
      <x:c r="B158" s="81"/>
      <x:c r="C158" s="81"/>
      <x:c r="D158" s="81"/>
      <x:c r="E158" s="154" t="s">
        <x:v>18</x:v>
      </x:c>
      <x:c r="F158" s="80"/>
      <x:c r="H158" s="38" t="n">
        <x:f>F158</x:f>
        <x:v>0</x:v>
      </x:c>
    </x:row>
    <x:row r="160" ht="12" customHeight="1">
      <x:c r="A160" s="33"/>
      <x:c r="B160" s="33"/>
      <x:c r="C160" s="34"/>
      <x:c r="D160" s="34"/>
      <x:c r="E160" s="34"/>
      <x:c r="F160" s="34"/>
      <x:c r="G160" s="34"/>
      <x:c r="H160" s="33" t="s">
        <x:v>13</x:v>
      </x:c>
    </x:row>
    <x:row r="161" ht="12" customHeight="1">
      <x:c r="B161" s="31"/>
      <x:c r="C161" s="31"/>
      <x:c r="D161" s="155"/>
      <x:c r="E161" s="156"/>
      <x:c r="F161" s="156"/>
      <x:c r="G161" s="60" t="s">
        <x:v>117</x:v>
      </x:c>
      <x:c r="H161" s="157" t="n">
        <x:f>SUM(H154+H156+H158)</x:f>
        <x:v>0</x:v>
      </x:c>
    </x:row>
    <x:row r="162" ht="12" customHeight="1">
      <x:c r="A162" s="33"/>
      <x:c r="B162" s="33"/>
      <x:c r="C162" s="34"/>
      <x:c r="D162" s="34"/>
      <x:c r="E162" s="34"/>
      <x:c r="F162" s="34"/>
      <x:c r="G162" s="34"/>
      <x:c r="H162" s="33" t="s">
        <x:v>13</x:v>
      </x:c>
    </x:row>
    <x:row r="163" ht="12" customHeight="1">
      <x:c r="A163" s="7" t="s">
        <x:v>118</x:v>
      </x:c>
      <x:c r="C163" s="34"/>
      <x:c r="D163" s="31"/>
      <x:c r="H163" s="89" t="n">
        <x:f>H110+H148+H161</x:f>
        <x:v>0</x:v>
      </x:c>
    </x:row>
    <x:row r="165" ht="12" customHeight="1">
      <x:c r="A165" s="7" t="s">
        <x:v>119</x:v>
      </x:c>
      <x:c r="E165" s="114" t="s">
        <x:v>120</x:v>
      </x:c>
      <x:c r="F165" s="49">
        <x:v>30</x:v>
      </x:c>
      <x:c r="H165" s="133" t="n">
        <x:f>H163*(F165/100)</x:f>
        <x:v>0</x:v>
      </x:c>
    </x:row>
    <x:row r="166" ht="12" customHeight="1">
      <x:c r="H166" s="82"/>
    </x:row>
    <x:row r="167" ht="12" customHeight="1">
      <x:c r="A167" s="7" t="s">
        <x:v>121</x:v>
      </x:c>
      <x:c r="E167" s="114" t="s">
        <x:v>120</x:v>
      </x:c>
      <x:c r="F167" s="49">
        <x:v>10</x:v>
      </x:c>
      <x:c r="H167" s="134" t="n">
        <x:f>(H163+H165)*(F167/100)</x:f>
        <x:v>0</x:v>
      </x:c>
    </x:row>
    <x:row r="168" ht="12" customHeight="1">
      <x:c r="H168" s="33" t="s">
        <x:v>13</x:v>
      </x:c>
    </x:row>
    <x:row r="169" ht="12" customHeight="1">
      <x:c r="A169" s="7" t="s">
        <x:v>122</x:v>
      </x:c>
      <x:c r="F169" s="151"/>
      <x:c r="H169" s="89" t="n">
        <x:f>H111+H163+H165+H167</x:f>
        <x:v>0</x:v>
      </x:c>
    </x:row>
    <x:row r="170" ht="12" customHeight="1">
      <x:c r="A170" s="7" t="s">
        <x:v>123</x:v>
      </x:c>
      <x:c r="F170" s="151">
        <x:v>5972</x:v>
      </x:c>
      <x:c r="H170" s="132" t="n">
        <x:f>H169+SUM(F172:F181)</x:f>
        <x:v>0</x:v>
      </x:c>
    </x:row>
    <x:row r="171" ht="12" customHeight="1">
      <x:c r="F171" s="151"/>
      <x:c r="H171" s="33" t="s">
        <x:v>13</x:v>
      </x:c>
    </x:row>
    <x:row r="172" s="83" customFormat="1" ht="12" customHeight="1">
      <x:c r="A172" s="17" t="str">
        <x:v>Additional Amount w/o Markup</x:v>
      </x:c>
      <x:c r="B172" s="17"/>
      <x:c r="C172" s="17"/>
      <x:c r="D172" s="17"/>
      <x:c r="E172" s="17"/>
      <x:c r="F172" s="17"/>
      <x:c r="G172" s="17"/>
      <x:c r="H172" s="33"/>
    </x:row>
    <x:row r="173" ht="12" customHeight="1">
      <x:c r="A173" s="87" t="str">
        <x:v>Additional Amount w/o Markup</x:v>
      </x:c>
      <x:c r="F173" s="90"/>
      <x:c r="H173" s="33"/>
    </x:row>
    <x:row r="174" ht="12" customHeight="1">
      <x:c r="A174" s="87" t="str">
        <x:v>Additional Amount w/o Markup</x:v>
      </x:c>
      <x:c r="F174" s="85"/>
      <x:c r="G174" s="17"/>
      <x:c r="H174" s="169"/>
    </x:row>
    <x:row r="175" ht="12" customHeight="1">
      <x:c r="A175" s="87" t="str">
        <x:v>Additional Amount w/o Markup</x:v>
      </x:c>
      <x:c r="B175" s="83"/>
      <x:c r="C175" s="83"/>
      <x:c r="D175" s="83"/>
      <x:c r="E175" s="83"/>
      <x:c r="F175" s="84"/>
      <x:c r="G175" s="83"/>
      <x:c r="H175" s="170"/>
    </x:row>
    <x:row r="176" ht="12" customHeight="1">
      <x:c r="A176" s="87" t="str">
        <x:v>Additional Amount w/o Markup</x:v>
      </x:c>
      <x:c r="B176" s="87"/>
      <x:c r="F176" s="85"/>
      <x:c r="G176" s="17"/>
      <x:c r="H176" s="169"/>
    </x:row>
    <x:row r="177" s="83" customFormat="1" ht="12" customHeight="1">
      <x:c r="A177" s="87" t="str">
        <x:v>Additional Amount w/o Markup</x:v>
      </x:c>
      <x:c r="B177" s="87"/>
      <x:c r="C177" s="17"/>
      <x:c r="D177" s="17"/>
      <x:c r="E177" s="17"/>
      <x:c r="F177" s="85"/>
      <x:c r="G177" s="171"/>
      <x:c r="H177" s="172"/>
    </x:row>
    <x:row r="178" ht="12" customHeight="1">
      <x:c r="A178" s="87" t="str">
        <x:v>Additional Amount w/o Markup</x:v>
      </x:c>
      <x:c r="B178" s="87"/>
      <x:c r="F178" s="85"/>
      <x:c r="G178" s="17"/>
      <x:c r="H178" s="169"/>
    </x:row>
    <x:row r="179" ht="12" customHeight="1">
      <x:c r="A179" s="87" t="str">
        <x:v>Additional Amount w/o Markup</x:v>
      </x:c>
      <x:c r="B179" s="87"/>
      <x:c r="F179" s="85"/>
      <x:c r="H179" s="169"/>
    </x:row>
    <x:row r="180" ht="12" customHeight="1">
      <x:c r="A180" s="7" t="str">
        <x:v>Additional Amount w/o Markup</x:v>
      </x:c>
      <x:c r="B180" s="83"/>
      <x:c r="C180" s="83"/>
      <x:c r="D180" s="83"/>
      <x:c r="E180" s="83"/>
      <x:c r="F180" s="143"/>
      <x:c r="G180" s="83"/>
      <x:c r="H180" s="83"/>
    </x:row>
    <x:row r="181" ht="12" customHeight="1">
      <x:c r="A181" t="str">
        <x:v>Additional Amount w/o Markup</x:v>
      </x:c>
      <x:c r="H181" s="33"/>
    </x:row>
    <x:row r="182" ht="12" customHeight="1">
      <x:c r="A182" s="158" t="s">
        <x:v>124</x:v>
      </x:c>
      <x:c r="F182" s="18"/>
      <x:c r="H182" s="159"/>
    </x:row>
    <x:row r="184" ht="12" customHeight="1">
      <x:c r="A184" s="15" t="s">
        <x:v>125</x:v>
      </x:c>
      <x:c r="B184" s="13" t="e">
        <x:f>H170/C12</x:f>
        <x:v>#DIV/0!</x:v>
      </x:c>
      <x:c r="C184" s="14" t="s">
        <x:v>126</x:v>
      </x:c>
      <x:c r="D184" s="16" t="n">
        <x:f>SUM((G19+G20+G21)/1000)</x:f>
        <x:v>0</x:v>
      </x:c>
      <x:c r="F184" s="18"/>
      <x:c r="G184" s="19"/>
      <x:c r="H184" s="159"/>
    </x:row>
    <x:row r="189" ht="12" customHeight="1">
      <x:c r="I189"/>
    </x:row>
    <x:row r="190" ht="12" customHeight="1">
      <x:c r="I190"/>
    </x:row>
    <x:row r="191" ht="12" customHeight="1">
      <x:c r="I191"/>
    </x:row>
    <x:row r="192" ht="12" customHeight="1">
      <x:c r="A192"/>
      <x:c r="B192"/>
      <x:c r="C192"/>
      <x:c r="D192"/>
      <x:c r="E192"/>
      <x:c r="F192"/>
      <x:c r="G192"/>
      <x:c r="H192"/>
      <x:c r="I192"/>
    </x:row>
    <x:row r="193" ht="12" customHeight="1">
      <x:c r="A193"/>
      <x:c r="B193"/>
      <x:c r="C193"/>
      <x:c r="D193"/>
      <x:c r="E193"/>
      <x:c r="F193"/>
      <x:c r="G193"/>
      <x:c r="H193"/>
      <x:c r="I193"/>
    </x:row>
    <x:row r="194" ht="12" customHeight="1">
      <x:c r="A194"/>
      <x:c r="B194"/>
      <x:c r="C194"/>
      <x:c r="D194"/>
      <x:c r="E194"/>
      <x:c r="F194"/>
      <x:c r="G194"/>
      <x:c r="H194"/>
    </x:row>
    <x:row r="195" ht="12" customHeight="1">
      <x:c r="A195"/>
      <x:c r="B195"/>
      <x:c r="C195"/>
      <x:c r="D195"/>
      <x:c r="E195"/>
      <x:c r="F195"/>
      <x:c r="G195"/>
      <x:c r="H195"/>
    </x:row>
    <x:row r="196" ht="12" customHeight="1">
      <x:c r="A196"/>
      <x:c r="B196"/>
      <x:c r="C196"/>
      <x:c r="D196"/>
      <x:c r="E196"/>
      <x:c r="F196"/>
      <x:c r="G196"/>
      <x:c r="H196"/>
    </x:row>
  </x:sheetData>
  <x:mergeCells>
    <x:mergeCell ref="G1:H1"/>
    <x:mergeCell ref="G2:H2"/>
    <x:mergeCell ref="G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2.75"/>
  <x:cols>
    <x:col min="1" max="1" width="24.42578125" customWidth="1"/>
    <x:col min="5" max="5" width="9.7109375" customWidth="1"/>
  </x:cols>
  <x:sheetData>
    <x:row r="1">
      <x:c r="E1" s="174" t="s">
        <x:v>127</x:v>
      </x:c>
      <x:c r="F1" s="175"/>
      <x:c r="G1" s="175"/>
      <x:c r="H1" s="175"/>
      <x:c r="I1" s="175"/>
      <x:c r="J1" s="175"/>
      <x:c r="K1" s="176"/>
    </x:row>
    <x:row r="2" s="1" customFormat="1" ht="25.5">
      <x:c r="A2" s="160" t="s">
        <x:v>128</x:v>
      </x:c>
      <x:c r="B2" s="161" t="s">
        <x:v>129</x:v>
      </x:c>
      <x:c r="C2" s="161" t="s">
        <x:v>130</x:v>
      </x:c>
      <x:c r="D2" s="161">
        <x:v>1</x:v>
      </x:c>
      <x:c r="E2" s="161">
        <x:v>2</x:v>
      </x:c>
      <x:c r="F2" s="161">
        <x:v>3</x:v>
      </x:c>
      <x:c r="G2" s="161">
        <x:v>4</x:v>
      </x:c>
      <x:c r="H2" s="161">
        <x:v>5</x:v>
      </x:c>
      <x:c r="I2" s="161">
        <x:v>6</x:v>
      </x:c>
      <x:c r="J2" s="161">
        <x:v>7</x:v>
      </x:c>
      <x:c r="K2" s="161">
        <x:v>8</x:v>
      </x:c>
      <x:c r="L2" s="162"/>
      <x:c r="M2" s="162"/>
    </x:row>
    <x:row r="3">
      <x:c r="A3" s="2" t="s">
        <x:v>131</x:v>
      </x:c>
      <x:c r="B3" s="11">
        <x:v>33</x:v>
      </x:c>
      <x:c r="C3" s="12">
        <x:v>1.5</x:v>
      </x:c>
      <x:c r="D3" s="96" t="n">
        <x:f>B3*C3</x:f>
        <x:v>49.5</x:v>
      </x:c>
      <x:c r="E3" s="9" t="n">
        <x:f>B3*C3</x:f>
        <x:v>49.5</x:v>
      </x:c>
      <x:c r="F3" s="9" t="n">
        <x:f>B3*C3</x:f>
        <x:v>49.5</x:v>
      </x:c>
      <x:c r="G3" s="9" t="n">
        <x:f>B3*C3</x:f>
        <x:v>49.5</x:v>
      </x:c>
      <x:c r="H3" s="9" t="n">
        <x:f>B3*C3</x:f>
        <x:v>49.5</x:v>
      </x:c>
      <x:c r="I3" s="9" t="n">
        <x:f t="shared" ref="I3:I8" si="0">B3*C3</x:f>
        <x:v>49.5</x:v>
      </x:c>
      <x:c r="J3" s="9" t="n">
        <x:f t="shared" ref="J3:J9" si="1">B3*C3</x:f>
        <x:v>49.5</x:v>
      </x:c>
      <x:c r="K3" s="9" t="n">
        <x:f t="shared" ref="K3:K10" si="2">B3*C3</x:f>
        <x:v>49.5</x:v>
      </x:c>
      <x:c r="L3" s="4"/>
      <x:c r="M3" s="93"/>
    </x:row>
    <x:row r="4">
      <x:c r="A4" s="2" t="s">
        <x:v>132</x:v>
      </x:c>
      <x:c r="B4" s="11">
        <x:v>26</x:v>
      </x:c>
      <x:c r="C4" s="12">
        <x:v>1.5</x:v>
      </x:c>
      <x:c r="D4" s="10"/>
      <x:c r="E4" s="9" t="n">
        <x:f>B4*C4</x:f>
        <x:v>39</x:v>
      </x:c>
      <x:c r="F4" s="9" t="n">
        <x:f>B4*C4</x:f>
        <x:v>39</x:v>
      </x:c>
      <x:c r="G4" s="9" t="n">
        <x:f>B4*C4</x:f>
        <x:v>39</x:v>
      </x:c>
      <x:c r="H4" s="9" t="n">
        <x:f>B4*C4</x:f>
        <x:v>39</x:v>
      </x:c>
      <x:c r="I4" s="9">
        <x:f t="shared" si="0"/>
        <x:v>39</x:v>
      </x:c>
      <x:c r="J4" s="9">
        <x:f t="shared" si="1"/>
        <x:v>39</x:v>
      </x:c>
      <x:c r="K4" s="9">
        <x:f t="shared" si="2"/>
        <x:v>39</x:v>
      </x:c>
    </x:row>
    <x:row r="5">
      <x:c r="A5" s="2" t="s">
        <x:v>133</x:v>
      </x:c>
      <x:c r="B5" s="11">
        <x:v>23.5</x:v>
      </x:c>
      <x:c r="C5" s="12">
        <x:v>1.5</x:v>
      </x:c>
      <x:c r="D5" s="10"/>
      <x:c r="E5" s="10"/>
      <x:c r="F5" s="9" t="n">
        <x:f>B5*C5</x:f>
        <x:v>35.25</x:v>
      </x:c>
      <x:c r="G5" s="9" t="n">
        <x:f>B5*C5</x:f>
        <x:v>35.25</x:v>
      </x:c>
      <x:c r="H5" s="9" t="n">
        <x:f>B5*C5</x:f>
        <x:v>35.25</x:v>
      </x:c>
      <x:c r="I5" s="9">
        <x:f t="shared" si="0"/>
        <x:v>35.25</x:v>
      </x:c>
      <x:c r="J5" s="9">
        <x:f t="shared" si="1"/>
        <x:v>35.25</x:v>
      </x:c>
      <x:c r="K5" s="9">
        <x:f t="shared" si="2"/>
        <x:v>35.25</x:v>
      </x:c>
    </x:row>
    <x:row r="6">
      <x:c r="A6" s="2" t="s">
        <x:v>134</x:v>
      </x:c>
      <x:c r="B6" s="11">
        <x:v>21</x:v>
      </x:c>
      <x:c r="C6" s="12">
        <x:v>1.5</x:v>
      </x:c>
      <x:c r="D6" s="10"/>
      <x:c r="E6" s="10"/>
      <x:c r="F6" s="10"/>
      <x:c r="G6" s="9" t="n">
        <x:f>B6*C6</x:f>
        <x:v>31.5</x:v>
      </x:c>
      <x:c r="H6" s="9" t="n">
        <x:f>B6*C6</x:f>
        <x:v>31.5</x:v>
      </x:c>
      <x:c r="I6" s="9">
        <x:f t="shared" si="0"/>
        <x:v>31.5</x:v>
      </x:c>
      <x:c r="J6" s="9">
        <x:f t="shared" si="1"/>
        <x:v>31.5</x:v>
      </x:c>
      <x:c r="K6" s="9">
        <x:f t="shared" si="2"/>
        <x:v>31.5</x:v>
      </x:c>
    </x:row>
    <x:row r="7">
      <x:c r="A7" s="2" t="s">
        <x:v>135</x:v>
      </x:c>
      <x:c r="B7" s="11">
        <x:v>20</x:v>
      </x:c>
      <x:c r="C7" s="12">
        <x:v>1.5</x:v>
      </x:c>
      <x:c r="D7" s="10"/>
      <x:c r="E7" s="10"/>
      <x:c r="F7" s="10"/>
      <x:c r="G7" s="10"/>
      <x:c r="H7" s="9" t="n">
        <x:f>B7*C7</x:f>
        <x:v>30</x:v>
      </x:c>
      <x:c r="I7" s="9">
        <x:f t="shared" si="0"/>
        <x:v>30</x:v>
      </x:c>
      <x:c r="J7" s="9">
        <x:f t="shared" si="1"/>
        <x:v>30</x:v>
      </x:c>
      <x:c r="K7" s="9">
        <x:f t="shared" si="2"/>
        <x:v>30</x:v>
      </x:c>
    </x:row>
    <x:row r="8">
      <x:c r="A8" s="2" t="s">
        <x:v>135</x:v>
      </x:c>
      <x:c r="B8" s="11">
        <x:v>20</x:v>
      </x:c>
      <x:c r="C8" s="12">
        <x:v>1.5</x:v>
      </x:c>
      <x:c r="D8" s="10"/>
      <x:c r="E8" s="10"/>
      <x:c r="F8" s="10"/>
      <x:c r="G8" s="10"/>
      <x:c r="H8" s="10"/>
      <x:c r="I8" s="9">
        <x:f t="shared" si="0"/>
        <x:v>30</x:v>
      </x:c>
      <x:c r="J8" s="9">
        <x:f t="shared" si="1"/>
        <x:v>30</x:v>
      </x:c>
      <x:c r="K8" s="9">
        <x:f t="shared" si="2"/>
        <x:v>30</x:v>
      </x:c>
    </x:row>
    <x:row r="9">
      <x:c r="A9" s="2" t="s">
        <x:v>135</x:v>
      </x:c>
      <x:c r="B9" s="11">
        <x:v>18</x:v>
      </x:c>
      <x:c r="C9" s="12">
        <x:v>1.5</x:v>
      </x:c>
      <x:c r="D9" s="10"/>
      <x:c r="E9" s="10"/>
      <x:c r="F9" s="10"/>
      <x:c r="G9" s="10"/>
      <x:c r="H9" s="10"/>
      <x:c r="I9" s="10"/>
      <x:c r="J9" s="9">
        <x:f t="shared" si="1"/>
        <x:v>27</x:v>
      </x:c>
      <x:c r="K9" s="9">
        <x:f t="shared" si="2"/>
        <x:v>27</x:v>
      </x:c>
    </x:row>
    <x:row r="10">
      <x:c r="A10" s="2" t="s">
        <x:v>135</x:v>
      </x:c>
      <x:c r="B10" s="11">
        <x:v>18</x:v>
      </x:c>
      <x:c r="C10" s="12">
        <x:v>1.5</x:v>
      </x:c>
      <x:c r="D10" s="10"/>
      <x:c r="E10" s="10"/>
      <x:c r="F10" s="10"/>
      <x:c r="G10" s="10"/>
      <x:c r="H10" s="10"/>
      <x:c r="I10" s="10"/>
      <x:c r="J10" s="10"/>
      <x:c r="K10" s="9">
        <x:f t="shared" si="2"/>
        <x:v>27</x:v>
      </x:c>
    </x:row>
    <x:row r="11">
      <x:c r="A11" s="8" t="s">
        <x:v>136</x:v>
      </x:c>
      <x:c r="B11" s="12">
        <x:v>8</x:v>
      </x:c>
      <x:c r="C11" s="10"/>
      <x:c r="D11" s="10"/>
      <x:c r="E11" s="10"/>
      <x:c r="F11" s="10"/>
      <x:c r="G11" s="10"/>
      <x:c r="H11" s="10"/>
      <x:c r="I11" s="10"/>
      <x:c r="J11" s="10"/>
      <x:c r="K11" s="10"/>
    </x:row>
    <x:row r="12" s="3" customFormat="1">
      <x:c r="A12" s="163" t="s">
        <x:v>137</x:v>
      </x:c>
      <x:c r="B12" s="164"/>
      <x:c r="C12" s="164"/>
      <x:c r="D12" s="165" t="n">
        <x:f>SUM(D3:D10)*B11</x:f>
        <x:v>396</x:v>
      </x:c>
      <x:c r="E12" s="165" t="n">
        <x:f>SUM(E3:E10)*B11</x:f>
        <x:v>708</x:v>
      </x:c>
      <x:c r="F12" s="165" t="n">
        <x:f>SUM(F3:F10)*B11</x:f>
        <x:v>990</x:v>
      </x:c>
      <x:c r="G12" s="165" t="n">
        <x:f>SUM(G3:G10)*B11</x:f>
        <x:v>1242</x:v>
      </x:c>
      <x:c r="H12" s="165" t="n">
        <x:f>SUM(H3:H10)*B11</x:f>
        <x:v>1482</x:v>
      </x:c>
      <x:c r="I12" s="165" t="n">
        <x:f>SUM(I3:I10)*B11</x:f>
        <x:v>1722</x:v>
      </x:c>
      <x:c r="J12" s="165" t="n">
        <x:f>SUM(J3:J10)*B11</x:f>
        <x:v>1938</x:v>
      </x:c>
      <x:c r="K12" s="165" t="n">
        <x:f>SUM(K3:K10)*B11</x:f>
        <x:v>2154</x:v>
      </x:c>
      <x:c r="L12" s="166"/>
      <x:c r="M12" s="166"/>
    </x:row>
    <x:row r="15">
      <x:c r="A15" s="92" t="s">
        <x:v>138</x:v>
      </x:c>
      <x:c r="B15" s="94" t="s">
        <x:v>139</x:v>
      </x:c>
      <x:c r="C15" s="94" t="s">
        <x:v>140</x:v>
      </x:c>
      <x:c r="D15" s="94"/>
    </x:row>
    <x:row r="16">
      <x:c r="A16" t="s">
        <x:v>141</x:v>
      </x:c>
      <x:c r="B16" s="149">
        <x:v>33</x:v>
      </x:c>
      <x:c r="C16" s="4">
        <x:v>20</x:v>
      </x:c>
      <x:c r="D16" s="4"/>
    </x:row>
    <x:row r="17">
      <x:c r="A17" t="s">
        <x:v>142</x:v>
      </x:c>
      <x:c r="B17" s="149">
        <x:v>28</x:v>
      </x:c>
      <x:c r="C17" s="4">
        <x:v>20</x:v>
      </x:c>
      <x:c r="D17" s="4"/>
    </x:row>
    <x:row r="18">
      <x:c r="A18" t="s">
        <x:v>143</x:v>
      </x:c>
      <x:c r="B18" s="86">
        <x:v>28</x:v>
      </x:c>
      <x:c r="C18" s="4">
        <x:v>20</x:v>
      </x:c>
      <x:c r="D18" s="4"/>
    </x:row>
    <x:row r="19">
      <x:c r="A19" t="s">
        <x:v>144</x:v>
      </x:c>
      <x:c r="B19" s="86">
        <x:v>25</x:v>
      </x:c>
      <x:c r="C19" s="4">
        <x:v>10</x:v>
      </x:c>
      <x:c r="D19" s="4"/>
    </x:row>
    <x:row r="20">
      <x:c r="D20" s="4"/>
    </x:row>
    <x:row r="21">
      <x:c r="A21" s="92" t="s">
        <x:v>145</x:v>
      </x:c>
      <x:c r="B21" s="94" t="s">
        <x:v>139</x:v>
      </x:c>
      <x:c r="C21" s="94" t="s">
        <x:v>140</x:v>
      </x:c>
      <x:c r="D21" s="4"/>
      <x:c r="H21" s="93"/>
    </x:row>
    <x:row r="22">
      <x:c r="A22" t="s">
        <x:v>146</x:v>
      </x:c>
      <x:c r="B22" s="86">
        <x:v>28</x:v>
      </x:c>
      <x:c r="C22" s="4">
        <x:v>10</x:v>
      </x:c>
      <x:c r="D22" s="4"/>
      <x:c r="H22" s="93"/>
      <x:c r="J22" s="86"/>
      <x:c r="K22" s="4"/>
    </x:row>
    <x:row r="23">
      <x:c r="A23" t="s">
        <x:v>147</x:v>
      </x:c>
      <x:c r="B23" s="86">
        <x:v>25</x:v>
      </x:c>
      <x:c r="C23" s="4">
        <x:v>20</x:v>
      </x:c>
      <x:c r="D23" s="4"/>
      <x:c r="H23" s="93"/>
      <x:c r="J23" s="86"/>
      <x:c r="K23" s="4"/>
    </x:row>
    <x:row r="24" ht="15">
      <x:c r="A24" s="150" t="s">
        <x:v>148</x:v>
      </x:c>
      <x:c r="B24" s="86">
        <x:v>25</x:v>
      </x:c>
      <x:c r="C24" s="4">
        <x:v>12.5</x:v>
      </x:c>
      <x:c r="D24" s="4"/>
      <x:c r="I24" s="150"/>
      <x:c r="J24" s="86"/>
      <x:c r="K24" s="4"/>
    </x:row>
    <x:row r="25" ht="15">
      <x:c r="A25" s="150" t="s">
        <x:v>149</x:v>
      </x:c>
      <x:c r="B25" s="86">
        <x:v>23.5</x:v>
      </x:c>
      <x:c r="C25" s="4">
        <x:v>11.75</x:v>
      </x:c>
      <x:c r="D25" s="4"/>
      <x:c r="I25" s="150"/>
      <x:c r="J25" s="86"/>
      <x:c r="K25" s="4"/>
    </x:row>
    <x:row r="26" ht="15">
      <x:c r="A26" s="150" t="s">
        <x:v>150</x:v>
      </x:c>
      <x:c r="B26" s="86">
        <x:v>23</x:v>
      </x:c>
      <x:c r="C26" s="4">
        <x:v>10</x:v>
      </x:c>
      <x:c r="D26" s="4"/>
      <x:c r="I26" s="150"/>
      <x:c r="J26" s="86"/>
      <x:c r="K26" s="4"/>
    </x:row>
    <x:row r="27" ht="15">
      <x:c r="A27" s="150" t="s">
        <x:v>151</x:v>
      </x:c>
      <x:c r="B27" s="86">
        <x:v>23</x:v>
      </x:c>
      <x:c r="C27" s="4">
        <x:v>10</x:v>
      </x:c>
      <x:c r="I27" s="150"/>
      <x:c r="J27" s="86"/>
      <x:c r="K27" s="4"/>
    </x:row>
    <x:row r="28" ht="15">
      <x:c r="A28" s="150" t="s">
        <x:v>152</x:v>
      </x:c>
      <x:c r="B28" s="86">
        <x:v>21</x:v>
      </x:c>
      <x:c r="C28" s="4">
        <x:v>8.75</x:v>
      </x:c>
      <x:c r="I28" s="150"/>
      <x:c r="J28" s="86"/>
      <x:c r="K28" s="4"/>
    </x:row>
    <x:row r="29" ht="15">
      <x:c r="A29" s="150" t="s">
        <x:v>153</x:v>
      </x:c>
      <x:c r="B29" s="86">
        <x:v>20</x:v>
      </x:c>
      <x:c r="C29" s="4">
        <x:v>8</x:v>
      </x:c>
      <x:c r="I29" s="150"/>
      <x:c r="J29" s="86"/>
      <x:c r="K29" s="4"/>
    </x:row>
    <x:row r="30" ht="15">
      <x:c r="A30" s="150" t="s">
        <x:v>154</x:v>
      </x:c>
      <x:c r="B30" s="86">
        <x:v>20</x:v>
      </x:c>
      <x:c r="C30" s="4">
        <x:v>10</x:v>
      </x:c>
      <x:c r="I30" s="150"/>
      <x:c r="J30" s="86"/>
      <x:c r="K30" s="4"/>
    </x:row>
    <x:row r="31" ht="15">
      <x:c r="A31" s="150" t="s">
        <x:v>155</x:v>
      </x:c>
      <x:c r="B31" s="86">
        <x:v>20</x:v>
      </x:c>
      <x:c r="C31" s="4">
        <x:v>7.25</x:v>
      </x:c>
    </x:row>
    <x:row r="32" ht="15">
      <x:c r="A32" s="150" t="s">
        <x:v>156</x:v>
      </x:c>
      <x:c r="B32" s="86">
        <x:v>19.5</x:v>
      </x:c>
      <x:c r="C32" s="4">
        <x:v>8</x:v>
      </x:c>
    </x:row>
    <x:row r="33" ht="15">
      <x:c r="A33" s="150" t="s">
        <x:v>157</x:v>
      </x:c>
      <x:c r="B33" s="86">
        <x:v>19</x:v>
      </x:c>
      <x:c r="C33" s="4">
        <x:v>7.25</x:v>
      </x:c>
    </x:row>
    <x:row r="34" ht="15">
      <x:c r="A34" s="150" t="s">
        <x:v>158</x:v>
      </x:c>
      <x:c r="B34" s="86">
        <x:v>18.5</x:v>
      </x:c>
      <x:c r="C34" s="4">
        <x:v>8</x:v>
      </x:c>
    </x:row>
    <x:row r="35" ht="15">
      <x:c r="A35" s="150"/>
      <x:c r="B35" s="86"/>
      <x:c r="C35" s="4"/>
    </x:row>
    <x:row r="36" ht="15">
      <x:c r="A36" s="150"/>
      <x:c r="B36" s="86"/>
      <x:c r="C36" s="4"/>
    </x:row>
    <x:row r="37">
      <x:c r="A37" s="92" t="s">
        <x:v>159</x:v>
      </x:c>
      <x:c r="B37" s="94" t="s">
        <x:v>139</x:v>
      </x:c>
      <x:c r="C37" s="94" t="s">
        <x:v>140</x:v>
      </x:c>
    </x:row>
    <x:row r="38" ht="15">
      <x:c r="A38" s="150" t="s">
        <x:v>160</x:v>
      </x:c>
      <x:c r="B38" s="86">
        <x:v>19</x:v>
      </x:c>
      <x:c r="C38" s="4">
        <x:v>7.25</x:v>
      </x:c>
    </x:row>
    <x:row r="39" ht="15">
      <x:c r="A39" s="150" t="s">
        <x:v>161</x:v>
      </x:c>
      <x:c r="B39" s="86">
        <x:v>18</x:v>
      </x:c>
      <x:c r="C39" s="4">
        <x:v>7.25</x:v>
      </x:c>
    </x:row>
    <x:row r="40" ht="15">
      <x:c r="A40" s="150" t="s">
        <x:v>162</x:v>
      </x:c>
      <x:c r="B40" s="86">
        <x:v>18</x:v>
      </x:c>
      <x:c r="C40" s="4">
        <x:v>7.25</x:v>
      </x:c>
    </x:row>
    <x:row r="41" ht="15">
      <x:c r="A41" s="150" t="s">
        <x:v>163</x:v>
      </x:c>
      <x:c r="B41" s="86">
        <x:v>18</x:v>
      </x:c>
      <x:c r="C41" s="4">
        <x:v>7.25</x:v>
      </x:c>
    </x:row>
    <x:row r="42" ht="15">
      <x:c r="A42" s="150" t="s">
        <x:v>164</x:v>
      </x:c>
      <x:c r="B42" s="86">
        <x:v>17</x:v>
      </x:c>
      <x:c r="C42" s="4">
        <x:v>7.25</x:v>
      </x:c>
    </x:row>
    <x:row r="43" ht="15">
      <x:c r="A43" s="150" t="s">
        <x:v>165</x:v>
      </x:c>
      <x:c r="B43" s="86">
        <x:v>17</x:v>
      </x:c>
      <x:c r="C43" s="4">
        <x:v>7.25</x:v>
      </x:c>
    </x:row>
  </x:sheetData>
  <x:mergeCells>
    <x:mergeCell ref="E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2.75"/>
  <x:cols>
    <x:col min="1" max="1" width="15" customWidth="1"/>
    <x:col min="2" max="2" width="11.28515625" customWidth="1"/>
    <x:col min="3" max="3" width="12" style="4" customWidth="1"/>
    <x:col min="4" max="4" width="11.28515625" customWidth="1"/>
  </x:cols>
  <x:sheetData>
    <x:row r="1" s="5" customFormat="1">
      <x:c r="A1" s="95" t="s">
        <x:v>166</x:v>
      </x:c>
      <x:c r="B1" s="95"/>
      <x:c r="C1" s="106" t="s">
        <x:v>167</x:v>
      </x:c>
      <x:c r="D1" s="95" t="s">
        <x:v>168</x:v>
      </x:c>
      <x:c r="E1" s="95" t="s">
        <x:v>169</x:v>
      </x:c>
    </x:row>
    <x:row r="2">
      <x:c r="A2" t="s">
        <x:v>170</x:v>
      </x:c>
      <x:c r="C2" s="4">
        <x:v>190</x:v>
      </x:c>
      <x:c r="D2">
        <x:v>55</x:v>
      </x:c>
      <x:c r="E2" s="4" t="n">
        <x:f>C2/D2</x:f>
        <x:v>3.4545454545454546</x:v>
      </x:c>
    </x:row>
    <x:row r="3">
      <x:c r="A3" t="s">
        <x:v>171</x:v>
      </x:c>
      <x:c r="C3" s="4">
        <x:v>260</x:v>
      </x:c>
      <x:c r="D3">
        <x:v>55</x:v>
      </x:c>
      <x:c r="E3" s="4" t="n">
        <x:f>C3/D3</x:f>
        <x:v>4.7272727272727275</x:v>
      </x:c>
    </x:row>
    <x:row r="5">
      <x:c r="A5" s="95" t="s">
        <x:v>63</x:v>
      </x:c>
      <x:c r="B5" s="95" t="s">
        <x:v>62</x:v>
      </x:c>
      <x:c r="C5" s="106" t="s">
        <x:v>167</x:v>
      </x:c>
      <x:c r="D5" s="95" t="s">
        <x:v>168</x:v>
      </x:c>
    </x:row>
    <x:row r="6">
      <x:c r="A6" s="93"/>
      <x:c r="B6" s="93" t="s">
        <x:v>172</x:v>
      </x:c>
      <x:c r="C6" s="118">
        <x:v>26.73</x:v>
      </x:c>
      <x:c r="D6">
        <x:v>300</x:v>
      </x:c>
    </x:row>
    <x:row r="7">
      <x:c r="A7" s="104"/>
      <x:c r="B7" s="93" t="s">
        <x:v>173</x:v>
      </x:c>
      <x:c r="C7" s="107">
        <x:v>37</x:v>
      </x:c>
      <x:c r="D7">
        <x:v>300</x:v>
      </x:c>
    </x:row>
    <x:row r="8">
      <x:c r="A8" s="104"/>
      <x:c r="B8" s="93" t="s">
        <x:v>174</x:v>
      </x:c>
      <x:c r="C8" s="107">
        <x:v>44</x:v>
      </x:c>
      <x:c r="D8">
        <x:v>300</x:v>
      </x:c>
    </x:row>
    <x:row r="9">
      <x:c r="A9" s="104"/>
      <x:c r="B9" s="93" t="s">
        <x:v>175</x:v>
      </x:c>
      <x:c r="C9" s="118">
        <x:v>53.03</x:v>
      </x:c>
      <x:c r="D9">
        <x:v>300</x:v>
      </x:c>
    </x:row>
    <x:row r="10">
      <x:c r="A10" s="104"/>
      <x:c r="B10" s="93" t="s">
        <x:v>176</x:v>
      </x:c>
      <x:c r="C10" s="118">
        <x:v>79.17</x:v>
      </x:c>
      <x:c r="D10">
        <x:v>300</x:v>
      </x:c>
    </x:row>
    <x:row r="11">
      <x:c r="A11" s="104"/>
      <x:c r="B11" s="93" t="s">
        <x:v>177</x:v>
      </x:c>
      <x:c r="C11" s="107">
        <x:v>120</x:v>
      </x:c>
      <x:c r="D11">
        <x:v>300</x:v>
      </x:c>
    </x:row>
    <x:row r="12">
      <x:c r="A12" s="104"/>
      <x:c r="B12" s="93" t="s">
        <x:v>178</x:v>
      </x:c>
      <x:c r="C12" s="107">
        <x:v>150</x:v>
      </x:c>
      <x:c r="D12">
        <x:v>300</x:v>
      </x:c>
    </x:row>
    <x:row r="14" s="5" customFormat="1">
      <x:c r="A14" s="95" t="s">
        <x:v>179</x:v>
      </x:c>
      <x:c r="B14" s="95" t="s">
        <x:v>24</x:v>
      </x:c>
      <x:c r="C14" s="106" t="s">
        <x:v>167</x:v>
      </x:c>
      <x:c r="D14" s="95" t="s">
        <x:v>180</x:v>
      </x:c>
      <x:c r="E14" s="95" t="s">
        <x:v>168</x:v>
      </x:c>
    </x:row>
    <x:row r="15">
      <x:c r="A15" t="s">
        <x:v>181</x:v>
      </x:c>
      <x:c r="B15" t="s">
        <x:v>182</x:v>
      </x:c>
      <x:c r="C15" s="107">
        <x:v>36.5</x:v>
      </x:c>
      <x:c r="E15" t="s">
        <x:v>183</x:v>
      </x:c>
    </x:row>
    <x:row r="16">
      <x:c r="A16" t="s">
        <x:v>184</x:v>
      </x:c>
      <x:c r="B16" t="s">
        <x:v>185</x:v>
      </x:c>
      <x:c r="C16" s="4">
        <x:v>26.78</x:v>
      </x:c>
      <x:c r="D16" s="6">
        <x:v>24.5</x:v>
      </x:c>
      <x:c r="E16" t="s">
        <x:v>183</x:v>
      </x:c>
    </x:row>
    <x:row r="17">
      <x:c r="A17" s="93" t="s">
        <x:v>186</x:v>
      </x:c>
      <x:c r="B17" s="93" t="s">
        <x:v>185</x:v>
      </x:c>
      <x:c r="C17" s="107">
        <x:v>30</x:v>
      </x:c>
      <x:c r="D17" s="110">
        <x:v>28</x:v>
      </x:c>
      <x:c r="E17" s="93" t="s">
        <x:v>183</x:v>
      </x:c>
    </x:row>
    <x:row r="18">
      <x:c r="A18" t="s">
        <x:v>187</x:v>
      </x:c>
      <x:c r="B18" t="s">
        <x:v>188</x:v>
      </x:c>
      <x:c r="C18" s="4">
        <x:v>47.38</x:v>
      </x:c>
      <x:c r="D18" s="6">
        <x:v>42.25</x:v>
      </x:c>
      <x:c r="E18" t="s">
        <x:v>183</x:v>
      </x:c>
    </x:row>
    <x:row r="19">
      <x:c r="A19" t="s">
        <x:v>187</x:v>
      </x:c>
      <x:c r="B19" t="s">
        <x:v>189</x:v>
      </x:c>
      <x:c r="C19" s="4">
        <x:v>58.11</x:v>
      </x:c>
      <x:c r="D19" s="6">
        <x:v>48.33</x:v>
      </x:c>
      <x:c r="E19" t="s">
        <x:v>183</x:v>
      </x:c>
    </x:row>
    <x:row r="20">
      <x:c r="A20" t="s">
        <x:v>187</x:v>
      </x:c>
      <x:c r="B20" t="s">
        <x:v>190</x:v>
      </x:c>
      <x:c r="C20" s="4">
        <x:v>77.47</x:v>
      </x:c>
      <x:c r="D20" s="6">
        <x:v>64.5</x:v>
      </x:c>
      <x:c r="E20" t="s">
        <x:v>183</x:v>
      </x:c>
    </x:row>
    <x:row r="21">
      <x:c r="A21" s="93" t="s">
        <x:v>187</x:v>
      </x:c>
      <x:c r="B21" s="93" t="s">
        <x:v>191</x:v>
      </x:c>
      <x:c r="C21" s="107">
        <x:v>88</x:v>
      </x:c>
      <x:c r="D21" s="110">
        <x:v>73</x:v>
      </x:c>
      <x:c r="E21" s="93" t="s">
        <x:v>183</x:v>
      </x:c>
    </x:row>
    <x:row r="22">
      <x:c r="A22" s="93"/>
      <x:c r="B22" s="93"/>
    </x:row>
    <x:row r="24" s="5" customFormat="1">
      <x:c r="A24" s="95" t="s">
        <x:v>192</x:v>
      </x:c>
      <x:c r="B24" s="95" t="s">
        <x:v>52</x:v>
      </x:c>
      <x:c r="C24" s="106" t="s">
        <x:v>167</x:v>
      </x:c>
      <x:c r="D24" s="95" t="s">
        <x:v>168</x:v>
      </x:c>
      <x:c r="E24" s="95"/>
    </x:row>
    <x:row r="25">
      <x:c r="A25" t="s">
        <x:v>193</x:v>
      </x:c>
      <x:c r="B25">
        <x:v>3.25</x:v>
      </x:c>
      <x:c r="C25" s="4">
        <x:v>90.05</x:v>
      </x:c>
      <x:c r="D25">
        <x:v>1000</x:v>
      </x:c>
    </x:row>
    <x:row r="26">
      <x:c r="B26">
        <x:v>3.75</x:v>
      </x:c>
      <x:c r="C26" s="4">
        <x:v>98.47</x:v>
      </x:c>
      <x:c r="D26">
        <x:v>1000</x:v>
      </x:c>
    </x:row>
    <x:row r="27">
      <x:c r="B27">
        <x:v>4.5</x:v>
      </x:c>
      <x:c r="C27" s="4">
        <x:v>117.15</x:v>
      </x:c>
      <x:c r="D27">
        <x:v>1000</x:v>
      </x:c>
    </x:row>
    <x:row r="28">
      <x:c r="B28">
        <x:v>5</x:v>
      </x:c>
      <x:c r="C28" s="4">
        <x:v>140.37</x:v>
      </x:c>
      <x:c r="D28">
        <x:v>1000</x:v>
      </x:c>
    </x:row>
    <x:row r="29">
      <x:c r="B29">
        <x:v>6</x:v>
      </x:c>
      <x:c r="C29" s="4">
        <x:v>172.67</x:v>
      </x:c>
      <x:c r="D29">
        <x:v>1000</x:v>
      </x:c>
    </x:row>
    <x:row r="30" s="5" customFormat="1">
      <x:c r="A30" s="95"/>
      <x:c r="B30" s="167">
        <x:v>7</x:v>
      </x:c>
      <x:c r="C30" s="168">
        <x:v>244.79</x:v>
      </x:c>
      <x:c r="D30" s="167">
        <x:v>1000</x:v>
      </x:c>
      <x:c r="E30" s="95"/>
    </x:row>
    <x:row r="31">
      <x:c r="B31">
        <x:v>8</x:v>
      </x:c>
      <x:c r="C31" s="4">
        <x:v>276.01</x:v>
      </x:c>
      <x:c r="D31">
        <x:v>1000</x:v>
      </x:c>
    </x:row>
    <x:row r="32">
      <x:c r="B32" s="97" t="s">
        <x:v>194</x:v>
      </x:c>
      <x:c r="C32" s="4" t="s">
        <x:v>195</x:v>
      </x:c>
    </x:row>
    <x:row r="34">
      <x:c r="A34" s="104" t="s">
        <x:v>54</x:v>
      </x:c>
    </x:row>
    <x:row r="35">
      <x:c r="A35" s="93" t="s">
        <x:v>196</x:v>
      </x:c>
      <x:c r="C35" s="4">
        <x:v>79.05</x:v>
      </x:c>
      <x:c r="D35">
        <x:v>1000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2.75"/>
  <x:sheetData/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2.75"/>
  <x:cols>
    <x:col min="1" max="4" width="15.7109375" customWidth="1"/>
  </x:cols>
  <x:sheetData>
    <x:row r="1">
      <x:c r="A1" s="95" t="s">
        <x:v>197</x:v>
      </x:c>
      <x:c r="B1" s="11"/>
    </x:row>
    <x:row r="3">
      <x:c r="B3" s="9" t="n">
        <x:f>IF(B1&lt;=100000,B1*0.0225,"")</x:f>
        <x:v>0</x:v>
      </x:c>
      <x:c r="C3" s="9" t="str">
        <x:f>IF(AND(B1&lt;=500000,B1&gt;100000), ((B1-100000)*0.015)+2250,"")</x:f>
      </x:c>
      <x:c r="D3" s="9" t="str">
        <x:f>IF(AND(B1&lt;=2500000,B1&gt;500000), ((B1-500000)*0.0105)+8250,"")</x:f>
      </x:c>
    </x:row>
  </x:sheetData>
  <x:pageMargins left="0.7" right="0.7" top="0.75" bottom="0.75" header="0.3" footer="0.3"/>
</x:worksheet>
</file>