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o365531128.sharepoint.com/sites/Data/Documents/2025 INSULATION/PROPOSED/Boone, Dillon - McCall Residence/"/>
    </mc:Choice>
  </mc:AlternateContent>
  <xr:revisionPtr revIDLastSave="0" documentId="8_{03112FC3-0541-4AA1-9598-8EB97CC303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imate" sheetId="1" r:id="rId1"/>
    <sheet name="People" sheetId="3" r:id="rId2"/>
    <sheet name="Materials" sheetId="5" r:id="rId3"/>
    <sheet name="General" sheetId="8" r:id="rId4"/>
    <sheet name="Sq Ft Calculation" sheetId="9" r:id="rId5"/>
    <sheet name="Performance &amp; Payment Bonds" sheetId="10" r:id="rId6"/>
  </sheets>
  <externalReferences>
    <externalReference r:id="rId7"/>
  </externalReferences>
  <definedNames>
    <definedName name="Coating_Databas" localSheetId="5">[1]Estimate!#REF!</definedName>
    <definedName name="Coating_Databas">Estimate!#REF!</definedName>
    <definedName name="_xlnm.Print_Area">Estimate!$1:$10211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/>
  <c r="B21" i="1"/>
  <c r="B31" i="1"/>
  <c r="B32" i="1"/>
  <c r="B30" i="1"/>
  <c r="H55" i="1"/>
  <c r="H53" i="1"/>
  <c r="G43" i="1" l="1"/>
  <c r="G41" i="1"/>
  <c r="H41" i="1" s="1"/>
  <c r="H50" i="1"/>
  <c r="H48" i="1"/>
  <c r="B48" i="1"/>
  <c r="H47" i="1"/>
  <c r="B47" i="1"/>
  <c r="B43" i="1"/>
  <c r="B41" i="1"/>
  <c r="H43" i="1" l="1"/>
  <c r="H24" i="1"/>
  <c r="B3" i="10" l="1"/>
  <c r="C3" i="10"/>
  <c r="D3" i="10"/>
  <c r="G21" i="1" l="1"/>
  <c r="H21" i="1" s="1"/>
  <c r="G20" i="1"/>
  <c r="H20" i="1" s="1"/>
  <c r="G19" i="1"/>
  <c r="H19" i="1" s="1"/>
  <c r="E15" i="9"/>
  <c r="E14" i="9"/>
  <c r="E13" i="9"/>
  <c r="E12" i="9"/>
  <c r="E11" i="9"/>
  <c r="E10" i="9"/>
  <c r="E9" i="9"/>
  <c r="E8" i="9"/>
  <c r="E7" i="9"/>
  <c r="E6" i="9"/>
  <c r="E5" i="9"/>
  <c r="E4" i="9"/>
  <c r="F15" i="9" l="1"/>
  <c r="D12" i="1" s="1"/>
  <c r="G26" i="1"/>
  <c r="G32" i="1"/>
  <c r="H32" i="1" s="1"/>
  <c r="G31" i="1"/>
  <c r="H31" i="1" s="1"/>
  <c r="G30" i="1"/>
  <c r="H30" i="1" s="1"/>
  <c r="H26" i="1" l="1"/>
  <c r="H61" i="1"/>
  <c r="G63" i="1"/>
  <c r="H63" i="1" s="1"/>
  <c r="H59" i="1" l="1"/>
  <c r="H57" i="1"/>
  <c r="H95" i="1" l="1"/>
  <c r="J88" i="1" l="1"/>
  <c r="J84" i="1"/>
  <c r="J82" i="1"/>
  <c r="D3" i="3"/>
  <c r="D12" i="3" s="1"/>
  <c r="H97" i="1"/>
  <c r="H68" i="1"/>
  <c r="H70" i="1" l="1"/>
  <c r="D103" i="1"/>
  <c r="B37" i="1"/>
  <c r="G92" i="1"/>
  <c r="G90" i="1"/>
  <c r="G88" i="1"/>
  <c r="G86" i="1"/>
  <c r="G84" i="1"/>
  <c r="G82" i="1"/>
  <c r="G80" i="1"/>
  <c r="G78" i="1"/>
  <c r="D92" i="1"/>
  <c r="D90" i="1"/>
  <c r="D88" i="1"/>
  <c r="D86" i="1"/>
  <c r="D84" i="1"/>
  <c r="D82" i="1"/>
  <c r="D80" i="1"/>
  <c r="D78" i="1"/>
  <c r="K10" i="3"/>
  <c r="K9" i="3"/>
  <c r="J9" i="3"/>
  <c r="K8" i="3"/>
  <c r="J8" i="3"/>
  <c r="I8" i="3"/>
  <c r="K7" i="3"/>
  <c r="J7" i="3"/>
  <c r="I7" i="3"/>
  <c r="H7" i="3"/>
  <c r="K6" i="3"/>
  <c r="J6" i="3"/>
  <c r="I6" i="3"/>
  <c r="H6" i="3"/>
  <c r="G6" i="3"/>
  <c r="K5" i="3"/>
  <c r="J5" i="3"/>
  <c r="I5" i="3"/>
  <c r="H5" i="3"/>
  <c r="G5" i="3"/>
  <c r="F5" i="3"/>
  <c r="K4" i="3"/>
  <c r="J4" i="3"/>
  <c r="I4" i="3"/>
  <c r="H4" i="3"/>
  <c r="G4" i="3"/>
  <c r="F4" i="3"/>
  <c r="E4" i="3"/>
  <c r="K3" i="3"/>
  <c r="J3" i="3"/>
  <c r="I3" i="3"/>
  <c r="H3" i="3"/>
  <c r="G3" i="3"/>
  <c r="F3" i="3"/>
  <c r="E3" i="3"/>
  <c r="E3" i="5"/>
  <c r="E2" i="5"/>
  <c r="H100" i="1"/>
  <c r="H109" i="1"/>
  <c r="H111" i="1"/>
  <c r="H114" i="1" l="1"/>
  <c r="B103" i="1"/>
  <c r="D137" i="1"/>
  <c r="G37" i="1"/>
  <c r="G65" i="1" s="1"/>
  <c r="E12" i="3"/>
  <c r="I12" i="3"/>
  <c r="F12" i="3"/>
  <c r="J90" i="1" s="1"/>
  <c r="G12" i="3"/>
  <c r="K12" i="3"/>
  <c r="H12" i="3"/>
  <c r="J12" i="3"/>
  <c r="H84" i="1"/>
  <c r="H88" i="1"/>
  <c r="H82" i="1"/>
  <c r="H90" i="1" l="1"/>
  <c r="J78" i="1"/>
  <c r="H78" i="1" s="1"/>
  <c r="J92" i="1"/>
  <c r="H92" i="1" s="1"/>
  <c r="J86" i="1"/>
  <c r="H86" i="1" s="1"/>
  <c r="J80" i="1"/>
  <c r="H80" i="1" s="1"/>
  <c r="H65" i="1"/>
  <c r="H37" i="1"/>
  <c r="H103" i="1" l="1"/>
  <c r="H72" i="1"/>
  <c r="H116" i="1" l="1"/>
  <c r="H73" i="1"/>
  <c r="H118" i="1" l="1"/>
  <c r="H120" i="1" s="1"/>
  <c r="H122" i="1" l="1"/>
  <c r="H123" i="1" s="1"/>
  <c r="B137" i="1" s="1"/>
</calcChain>
</file>

<file path=xl/sharedStrings.xml><?xml version="1.0" encoding="utf-8"?>
<sst xmlns="http://schemas.openxmlformats.org/spreadsheetml/2006/main" count="215" uniqueCount="163">
  <si>
    <t>Today's Date:</t>
  </si>
  <si>
    <t>Bill To Address:</t>
  </si>
  <si>
    <t>Job Name:</t>
  </si>
  <si>
    <t>Boone - McCall Residence</t>
  </si>
  <si>
    <t>City, State, Zip:</t>
  </si>
  <si>
    <t>Job Type:</t>
  </si>
  <si>
    <t>Insulation - Walls Only</t>
  </si>
  <si>
    <t>Contact:</t>
  </si>
  <si>
    <t>Site Address:</t>
  </si>
  <si>
    <t>2333 Todds Point Rd.</t>
  </si>
  <si>
    <t>Email Address:</t>
  </si>
  <si>
    <t>Simpsonville, KY</t>
  </si>
  <si>
    <t>Phone:</t>
  </si>
  <si>
    <t xml:space="preserve">Dillon Boone </t>
  </si>
  <si>
    <t>Fax:</t>
  </si>
  <si>
    <t>Title:</t>
  </si>
  <si>
    <t>Est. Square Feet:</t>
  </si>
  <si>
    <t>Materials</t>
  </si>
  <si>
    <t>*</t>
  </si>
  <si>
    <t>Type</t>
  </si>
  <si>
    <t>Sq. Ft.</t>
  </si>
  <si>
    <t>Unit Price</t>
  </si>
  <si>
    <t>Est. Units</t>
  </si>
  <si>
    <t>Est. Cost</t>
  </si>
  <si>
    <t>Foam</t>
  </si>
  <si>
    <t>Mfg:</t>
  </si>
  <si>
    <t>Gaco = 1, NCFI = 2, BASF = 3, PSI = 4, Demilec = 5</t>
  </si>
  <si>
    <t>Types:</t>
  </si>
  <si>
    <t>2.0 lb. = 1, 0.5 lb. = 2</t>
  </si>
  <si>
    <t>Thickness</t>
  </si>
  <si>
    <t>Linear Ft.</t>
  </si>
  <si>
    <t>Membrane</t>
  </si>
  <si>
    <t>Primer</t>
  </si>
  <si>
    <t>Coating</t>
  </si>
  <si>
    <t>DC 315 TB = 1, Acrylic = 2, NoBurn TB = 3</t>
  </si>
  <si>
    <t>Gal / Sq.</t>
  </si>
  <si>
    <t>Margin %:</t>
  </si>
  <si>
    <t>Thinner</t>
  </si>
  <si>
    <t>Naphtha VM&amp;P = 1, Mineral Spirits = 2, Xylene= 3</t>
  </si>
  <si>
    <t>Caulk/Sealant</t>
  </si>
  <si>
    <t>Can Foam = 1, Liquid Flashing = 2, Pointing Mastic = 3</t>
  </si>
  <si>
    <t>Ft. / Unit</t>
  </si>
  <si>
    <t>Lift</t>
  </si>
  <si>
    <t xml:space="preserve">Forklift = 1, Boom = 2, Scissor = 3, Articulating = 4 </t>
  </si>
  <si>
    <t>Size</t>
  </si>
  <si>
    <t>Period</t>
  </si>
  <si>
    <t>Margin %</t>
  </si>
  <si>
    <t>20'</t>
  </si>
  <si>
    <t>Delivery Fee</t>
  </si>
  <si>
    <t>Est. Days</t>
  </si>
  <si>
    <t>Generator</t>
  </si>
  <si>
    <t>Space Heater</t>
  </si>
  <si>
    <t>Misc.</t>
  </si>
  <si>
    <t>Freight</t>
  </si>
  <si>
    <t>ABAA Audits</t>
  </si>
  <si>
    <t>ABAA Fee</t>
  </si>
  <si>
    <t>Drum Disp.</t>
  </si>
  <si>
    <t>No. of Trips</t>
  </si>
  <si>
    <t>R.T. Miles</t>
  </si>
  <si>
    <t>Sales/Inspect.</t>
  </si>
  <si>
    <t>Truck Exp.</t>
  </si>
  <si>
    <t>*****************</t>
  </si>
  <si>
    <t>Subtotal Materials</t>
  </si>
  <si>
    <t>Sales Tax %</t>
  </si>
  <si>
    <t>Labor / Subcontractor</t>
  </si>
  <si>
    <t>Days</t>
  </si>
  <si>
    <t>No. of People</t>
  </si>
  <si>
    <t>Total Hours</t>
  </si>
  <si>
    <t>Prevailing Wage</t>
  </si>
  <si>
    <t>Fringe</t>
  </si>
  <si>
    <t>Total Prevailing Wage</t>
  </si>
  <si>
    <t>Daily Rate</t>
  </si>
  <si>
    <t>Set Up</t>
  </si>
  <si>
    <t>Mask</t>
  </si>
  <si>
    <t>Prime</t>
  </si>
  <si>
    <t>DC 315</t>
  </si>
  <si>
    <t>Clean Up</t>
  </si>
  <si>
    <t>Est. Hours / Day</t>
  </si>
  <si>
    <t>Est. Rate</t>
  </si>
  <si>
    <t>Loading</t>
  </si>
  <si>
    <t xml:space="preserve">Traveling </t>
  </si>
  <si>
    <t>No. of Days</t>
  </si>
  <si>
    <t>Meals, Lodging Expenses</t>
  </si>
  <si>
    <t>Total Days</t>
  </si>
  <si>
    <t>Subtotal Labor / Subcontractor</t>
  </si>
  <si>
    <t>Bonding and Insurance</t>
  </si>
  <si>
    <t>Miscellaneous Insurance</t>
  </si>
  <si>
    <t>Permits</t>
  </si>
  <si>
    <t>Describe:</t>
  </si>
  <si>
    <t>Subtotal Warranty, Bonding, Insurance</t>
  </si>
  <si>
    <t>Total Job Cost</t>
  </si>
  <si>
    <t>Estimated O/H</t>
  </si>
  <si>
    <t>Percentage:</t>
  </si>
  <si>
    <t>Profit</t>
  </si>
  <si>
    <t>Work Sheet Price</t>
  </si>
  <si>
    <t>Work Sheet Price + Additional Amount w/o Markup</t>
  </si>
  <si>
    <t xml:space="preserve">Misc </t>
  </si>
  <si>
    <t>Additional Amount w/o Markup</t>
  </si>
  <si>
    <t>Summary</t>
  </si>
  <si>
    <t>Price / Sq. Ft:</t>
  </si>
  <si>
    <t>Est. Sets:</t>
  </si>
  <si>
    <t>Crew Size</t>
  </si>
  <si>
    <t>Job Classification</t>
  </si>
  <si>
    <t>Hourly Wage</t>
  </si>
  <si>
    <t>Burden Rate</t>
  </si>
  <si>
    <t>Foreman / Sprayer</t>
  </si>
  <si>
    <t>Sprayer / Trailer</t>
  </si>
  <si>
    <t xml:space="preserve">Trailer / Hose </t>
  </si>
  <si>
    <t>Hose / Laborer</t>
  </si>
  <si>
    <t>Laborer</t>
  </si>
  <si>
    <t>Hours /Day</t>
  </si>
  <si>
    <t>Estimated Cost/Day</t>
  </si>
  <si>
    <t>Crew Leaders</t>
  </si>
  <si>
    <t>Hourly</t>
  </si>
  <si>
    <t>Travel</t>
  </si>
  <si>
    <t>Mariano Perez</t>
  </si>
  <si>
    <t>Carlos Garcia</t>
  </si>
  <si>
    <t>Abel Reyes</t>
  </si>
  <si>
    <t>Miguel Avila</t>
  </si>
  <si>
    <t>Workers</t>
  </si>
  <si>
    <t>Hugo</t>
  </si>
  <si>
    <t>Santos</t>
  </si>
  <si>
    <t>Erik Avila</t>
  </si>
  <si>
    <t>Michael</t>
  </si>
  <si>
    <t>Juan Loa</t>
  </si>
  <si>
    <t>Axel</t>
  </si>
  <si>
    <t>Gilberto Morales</t>
  </si>
  <si>
    <t>Melvin Lutin</t>
  </si>
  <si>
    <t>Ramiro</t>
  </si>
  <si>
    <t>Jesus</t>
  </si>
  <si>
    <t>Onilson Morales</t>
  </si>
  <si>
    <t>Frederico</t>
  </si>
  <si>
    <t>Pedro Morales</t>
  </si>
  <si>
    <t>TEMP Workers</t>
  </si>
  <si>
    <t>Nelvi</t>
  </si>
  <si>
    <t>Bryan</t>
  </si>
  <si>
    <t>Jose</t>
  </si>
  <si>
    <t>Maura</t>
  </si>
  <si>
    <t>David</t>
  </si>
  <si>
    <t>Felipe</t>
  </si>
  <si>
    <t>Solvents</t>
  </si>
  <si>
    <t>Cost</t>
  </si>
  <si>
    <t>Unit</t>
  </si>
  <si>
    <t>Per Gal</t>
  </si>
  <si>
    <t>VM&amp;P Natha</t>
  </si>
  <si>
    <t>Xylene</t>
  </si>
  <si>
    <t>Fabric</t>
  </si>
  <si>
    <t>Width</t>
  </si>
  <si>
    <t>4"</t>
  </si>
  <si>
    <t>6"</t>
  </si>
  <si>
    <t>9"</t>
  </si>
  <si>
    <t>12"</t>
  </si>
  <si>
    <t>18"</t>
  </si>
  <si>
    <t>36"</t>
  </si>
  <si>
    <t>48"</t>
  </si>
  <si>
    <t>38.5"</t>
  </si>
  <si>
    <t>Description</t>
  </si>
  <si>
    <t>Height</t>
  </si>
  <si>
    <t>Total</t>
  </si>
  <si>
    <t>Wall</t>
  </si>
  <si>
    <t>Ceiling</t>
  </si>
  <si>
    <t>Gables</t>
  </si>
  <si>
    <t>Project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</si>
</sst>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&quot;$&quot;#,##0.000"/>
    <numFmt numFmtId="167" formatCode="0.0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b/>
      <sz val="11"/>
      <color indexed="17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16" fillId="0" borderId="0" applyNumberFormat="0" applyFill="0" applyBorder="0" applyAlignment="0" applyProtection="0"/>
  </cellStyleXfs>
  <cellXfs count="185">
    <xf numFmtId="0" fontId="0" fillId="0" borderId="0" xfId="0"/>
    <xf numFmtId="0" fontId="6" fillId="0" borderId="0" xfId="0" applyFont="1" applyAlignment="1">
      <alignment horizontal="center" wrapText="1"/>
    </xf>
    <xf numFmtId="0" fontId="0" fillId="0" borderId="2" xfId="0" applyBorder="1"/>
    <xf numFmtId="0" fontId="6" fillId="2" borderId="0" xfId="0" applyFont="1" applyFill="1"/>
    <xf numFmtId="165" fontId="0" fillId="0" borderId="0" xfId="0" applyNumberFormat="1"/>
    <xf numFmtId="0" fontId="6" fillId="0" borderId="0" xfId="0" applyFont="1" applyAlignment="1">
      <alignment horizontal="center"/>
    </xf>
    <xf numFmtId="0" fontId="2" fillId="0" borderId="0" xfId="0" applyFont="1" applyAlignment="1" applyProtection="1">
      <alignment horizontal="left" vertical="center"/>
      <protection locked="0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7" borderId="2" xfId="0" applyFill="1" applyBorder="1"/>
    <xf numFmtId="44" fontId="0" fillId="4" borderId="2" xfId="1" applyFont="1" applyFill="1" applyBorder="1"/>
    <xf numFmtId="0" fontId="0" fillId="4" borderId="2" xfId="0" applyFill="1" applyBorder="1"/>
    <xf numFmtId="0" fontId="7" fillId="0" borderId="0" xfId="1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7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4" fontId="0" fillId="2" borderId="0" xfId="0" applyNumberForma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Continuous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49" fontId="0" fillId="2" borderId="0" xfId="0" applyNumberForma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8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Continuous" vertical="center"/>
      <protection locked="0"/>
    </xf>
    <xf numFmtId="3" fontId="3" fillId="3" borderId="0" xfId="0" applyNumberFormat="1" applyFont="1" applyFill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fill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4" fontId="3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7" fontId="3" fillId="0" borderId="0" xfId="0" applyNumberFormat="1" applyFont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vertical="center"/>
      <protection locked="0"/>
    </xf>
    <xf numFmtId="3" fontId="3" fillId="2" borderId="7" xfId="0" applyNumberFormat="1" applyFont="1" applyFill="1" applyBorder="1" applyAlignment="1" applyProtection="1">
      <alignment horizontal="center" vertical="center"/>
      <protection locked="0"/>
    </xf>
    <xf numFmtId="2" fontId="3" fillId="2" borderId="8" xfId="0" applyNumberFormat="1" applyFont="1" applyFill="1" applyBorder="1" applyAlignment="1" applyProtection="1">
      <alignment horizontal="center" vertical="center"/>
      <protection locked="0"/>
    </xf>
    <xf numFmtId="7" fontId="3" fillId="2" borderId="8" xfId="0" applyNumberFormat="1" applyFont="1" applyFill="1" applyBorder="1" applyAlignment="1" applyProtection="1">
      <alignment horizontal="right" vertical="center"/>
      <protection locked="0"/>
    </xf>
    <xf numFmtId="0" fontId="3" fillId="4" borderId="0" xfId="0" applyFont="1" applyFill="1" applyAlignment="1" applyProtection="1">
      <alignment horizontal="right" vertical="center"/>
      <protection locked="0"/>
    </xf>
    <xf numFmtId="7" fontId="3" fillId="2" borderId="0" xfId="0" applyNumberFormat="1" applyFont="1" applyFill="1" applyAlignment="1" applyProtection="1">
      <alignment horizontal="right" vertical="center"/>
      <protection locked="0"/>
    </xf>
    <xf numFmtId="3" fontId="3" fillId="0" borderId="0" xfId="0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3" fontId="3" fillId="2" borderId="0" xfId="0" applyNumberFormat="1" applyFont="1" applyFill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righ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3" fontId="3" fillId="0" borderId="0" xfId="0" applyNumberFormat="1" applyFont="1" applyAlignment="1" applyProtection="1">
      <alignment horizontal="right" vertical="center"/>
      <protection locked="0"/>
    </xf>
    <xf numFmtId="0" fontId="3" fillId="4" borderId="7" xfId="0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165" fontId="9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2" fontId="3" fillId="2" borderId="7" xfId="0" applyNumberFormat="1" applyFont="1" applyFill="1" applyBorder="1" applyAlignment="1" applyProtection="1">
      <alignment horizontal="center" vertical="center"/>
      <protection locked="0"/>
    </xf>
    <xf numFmtId="0" fontId="3" fillId="5" borderId="0" xfId="1" applyNumberFormat="1" applyFont="1" applyFill="1" applyBorder="1" applyAlignment="1" applyProtection="1">
      <alignment horizontal="right" vertical="center"/>
    </xf>
    <xf numFmtId="165" fontId="3" fillId="4" borderId="7" xfId="1" applyNumberFormat="1" applyFont="1" applyFill="1" applyBorder="1" applyAlignment="1" applyProtection="1">
      <alignment vertical="center"/>
      <protection locked="0"/>
    </xf>
    <xf numFmtId="165" fontId="3" fillId="2" borderId="0" xfId="1" applyNumberFormat="1" applyFont="1" applyFill="1" applyBorder="1" applyAlignment="1" applyProtection="1">
      <alignment horizontal="right" vertical="center"/>
      <protection locked="0"/>
    </xf>
    <xf numFmtId="165" fontId="3" fillId="5" borderId="0" xfId="1" applyNumberFormat="1" applyFont="1" applyFill="1" applyBorder="1" applyAlignment="1" applyProtection="1">
      <alignment vertical="center"/>
    </xf>
    <xf numFmtId="2" fontId="3" fillId="0" borderId="0" xfId="0" applyNumberFormat="1" applyFont="1" applyAlignment="1">
      <alignment vertical="center"/>
    </xf>
    <xf numFmtId="165" fontId="3" fillId="0" borderId="0" xfId="1" applyNumberFormat="1" applyFont="1" applyFill="1" applyBorder="1" applyAlignment="1" applyProtection="1">
      <alignment vertical="center"/>
    </xf>
    <xf numFmtId="44" fontId="3" fillId="0" borderId="0" xfId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4" fontId="3" fillId="2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0" xfId="1" applyNumberFormat="1" applyFont="1" applyFill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5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44" fontId="10" fillId="0" borderId="0" xfId="1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vertical="center"/>
    </xf>
    <xf numFmtId="44" fontId="0" fillId="4" borderId="1" xfId="1" applyFont="1" applyFill="1" applyBorder="1" applyAlignment="1">
      <alignment vertical="center"/>
    </xf>
    <xf numFmtId="44" fontId="3" fillId="4" borderId="5" xfId="1" applyFont="1" applyFill="1" applyBorder="1" applyAlignment="1" applyProtection="1">
      <alignment vertical="center"/>
      <protection locked="0"/>
    </xf>
    <xf numFmtId="44" fontId="0" fillId="0" borderId="0" xfId="1" applyFont="1" applyFill="1"/>
    <xf numFmtId="0" fontId="2" fillId="0" borderId="0" xfId="0" applyFont="1" applyAlignment="1" applyProtection="1">
      <alignment vertical="center"/>
      <protection locked="0"/>
    </xf>
    <xf numFmtId="9" fontId="12" fillId="4" borderId="0" xfId="2" applyFont="1" applyFill="1" applyBorder="1" applyAlignment="1" applyProtection="1">
      <alignment horizontal="right" vertical="center"/>
      <protection locked="0"/>
    </xf>
    <xf numFmtId="165" fontId="3" fillId="0" borderId="0" xfId="1" applyNumberFormat="1" applyFont="1" applyFill="1" applyBorder="1" applyAlignment="1" applyProtection="1">
      <alignment vertical="center"/>
      <protection locked="0"/>
    </xf>
    <xf numFmtId="44" fontId="3" fillId="4" borderId="1" xfId="1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0" borderId="0" xfId="0" applyFont="1"/>
    <xf numFmtId="0" fontId="3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0" applyNumberFormat="1"/>
    <xf numFmtId="0" fontId="0" fillId="0" borderId="0" xfId="0" applyAlignment="1">
      <alignment horizontal="right"/>
    </xf>
    <xf numFmtId="0" fontId="3" fillId="5" borderId="0" xfId="1" applyNumberFormat="1" applyFont="1" applyFill="1" applyBorder="1" applyAlignment="1" applyProtection="1">
      <alignment horizontal="center" vertical="center"/>
    </xf>
    <xf numFmtId="7" fontId="3" fillId="2" borderId="0" xfId="0" applyNumberFormat="1" applyFont="1" applyFill="1" applyAlignment="1" applyProtection="1">
      <alignment horizontal="center" vertical="center"/>
      <protection locked="0"/>
    </xf>
    <xf numFmtId="2" fontId="0" fillId="0" borderId="0" xfId="0" applyNumberFormat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165" fontId="0" fillId="8" borderId="0" xfId="0" applyNumberFormat="1" applyFill="1"/>
    <xf numFmtId="0" fontId="3" fillId="5" borderId="0" xfId="0" applyFont="1" applyFill="1" applyAlignment="1" applyProtection="1">
      <alignment horizontal="left" vertical="center"/>
      <protection locked="0"/>
    </xf>
    <xf numFmtId="2" fontId="3" fillId="0" borderId="0" xfId="0" applyNumberFormat="1" applyFont="1" applyAlignment="1">
      <alignment horizontal="right" vertical="center"/>
    </xf>
    <xf numFmtId="165" fontId="0" fillId="5" borderId="0" xfId="0" applyNumberFormat="1" applyFill="1"/>
    <xf numFmtId="0" fontId="3" fillId="5" borderId="0" xfId="0" applyFont="1" applyFill="1" applyAlignment="1" applyProtection="1">
      <alignment vertical="center"/>
      <protection locked="0"/>
    </xf>
    <xf numFmtId="165" fontId="3" fillId="4" borderId="0" xfId="0" applyNumberFormat="1" applyFont="1" applyFill="1" applyAlignment="1" applyProtection="1">
      <alignment horizontal="right" vertical="center"/>
      <protection locked="0"/>
    </xf>
    <xf numFmtId="0" fontId="0" fillId="4" borderId="0" xfId="0" applyFill="1"/>
    <xf numFmtId="165" fontId="0" fillId="4" borderId="0" xfId="0" applyNumberFormat="1" applyFill="1"/>
    <xf numFmtId="166" fontId="0" fillId="4" borderId="0" xfId="0" applyNumberFormat="1" applyFill="1"/>
    <xf numFmtId="3" fontId="3" fillId="4" borderId="0" xfId="0" applyNumberFormat="1" applyFont="1" applyFill="1" applyAlignment="1" applyProtection="1">
      <alignment horizontal="center" vertical="center"/>
      <protection locked="0"/>
    </xf>
    <xf numFmtId="3" fontId="0" fillId="0" borderId="0" xfId="0" applyNumberFormat="1" applyProtection="1"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3" fontId="0" fillId="4" borderId="10" xfId="0" applyNumberFormat="1" applyFill="1" applyBorder="1" applyAlignment="1">
      <alignment horizontal="center"/>
    </xf>
    <xf numFmtId="3" fontId="0" fillId="0" borderId="2" xfId="0" applyNumberFormat="1" applyBorder="1" applyAlignment="1" applyProtection="1">
      <alignment horizontal="center"/>
      <protection locked="0"/>
    </xf>
    <xf numFmtId="3" fontId="0" fillId="4" borderId="6" xfId="0" applyNumberForma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4" fontId="3" fillId="2" borderId="0" xfId="0" applyNumberFormat="1" applyFont="1" applyFill="1" applyAlignment="1" applyProtection="1">
      <alignment horizontal="center" vertical="center"/>
      <protection locked="0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165" fontId="3" fillId="4" borderId="0" xfId="0" applyNumberFormat="1" applyFont="1" applyFill="1" applyAlignment="1" applyProtection="1">
      <alignment vertical="center"/>
      <protection locked="0"/>
    </xf>
    <xf numFmtId="3" fontId="0" fillId="4" borderId="0" xfId="0" applyNumberFormat="1" applyFill="1" applyAlignment="1" applyProtection="1">
      <alignment horizontal="center"/>
      <protection locked="0"/>
    </xf>
    <xf numFmtId="3" fontId="3" fillId="4" borderId="0" xfId="3" applyNumberFormat="1" applyFont="1" applyFill="1" applyBorder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horizontal="right"/>
      <protection locked="0"/>
    </xf>
    <xf numFmtId="3" fontId="3" fillId="0" borderId="0" xfId="3" applyNumberFormat="1" applyFont="1" applyFill="1" applyBorder="1" applyAlignment="1" applyProtection="1">
      <alignment horizontal="center" vertical="center"/>
      <protection locked="0"/>
    </xf>
    <xf numFmtId="165" fontId="3" fillId="4" borderId="0" xfId="0" applyNumberFormat="1" applyFont="1" applyFill="1" applyAlignment="1" applyProtection="1">
      <alignment horizontal="center" vertical="center"/>
      <protection locked="0"/>
    </xf>
    <xf numFmtId="165" fontId="3" fillId="0" borderId="0" xfId="1" applyNumberFormat="1" applyFont="1" applyFill="1" applyBorder="1" applyAlignment="1" applyProtection="1">
      <alignment horizontal="right" vertical="center"/>
      <protection locked="0"/>
    </xf>
    <xf numFmtId="0" fontId="3" fillId="0" borderId="0" xfId="4"/>
    <xf numFmtId="0" fontId="2" fillId="0" borderId="0" xfId="4" applyFont="1" applyAlignment="1" applyProtection="1">
      <alignment horizontal="left" vertical="center"/>
      <protection locked="0"/>
    </xf>
    <xf numFmtId="0" fontId="3" fillId="0" borderId="0" xfId="4" applyAlignment="1" applyProtection="1">
      <alignment vertical="center"/>
      <protection locked="0"/>
    </xf>
    <xf numFmtId="0" fontId="3" fillId="4" borderId="0" xfId="4" applyFill="1" applyAlignment="1" applyProtection="1">
      <alignment vertical="center"/>
      <protection locked="0"/>
    </xf>
    <xf numFmtId="0" fontId="3" fillId="0" borderId="0" xfId="4" applyAlignment="1" applyProtection="1">
      <alignment horizontal="left" vertical="center"/>
      <protection locked="0"/>
    </xf>
    <xf numFmtId="0" fontId="2" fillId="0" borderId="0" xfId="4" applyFont="1" applyAlignment="1" applyProtection="1">
      <alignment vertical="center"/>
      <protection locked="0"/>
    </xf>
    <xf numFmtId="0" fontId="2" fillId="0" borderId="0" xfId="4" applyFont="1" applyAlignment="1" applyProtection="1">
      <alignment horizontal="center" vertical="center"/>
      <protection locked="0"/>
    </xf>
    <xf numFmtId="4" fontId="3" fillId="0" borderId="0" xfId="4" applyNumberFormat="1" applyAlignment="1" applyProtection="1">
      <alignment horizontal="right" vertical="center"/>
      <protection locked="0"/>
    </xf>
    <xf numFmtId="7" fontId="3" fillId="0" borderId="0" xfId="4" applyNumberFormat="1" applyAlignment="1" applyProtection="1">
      <alignment horizontal="right" vertical="center"/>
      <protection locked="0"/>
    </xf>
    <xf numFmtId="7" fontId="3" fillId="2" borderId="0" xfId="4" applyNumberFormat="1" applyFill="1" applyAlignment="1" applyProtection="1">
      <alignment horizontal="right" vertical="center"/>
      <protection locked="0"/>
    </xf>
    <xf numFmtId="1" fontId="3" fillId="0" borderId="0" xfId="4" applyNumberFormat="1" applyAlignment="1" applyProtection="1">
      <alignment horizontal="right" vertical="center"/>
      <protection locked="0"/>
    </xf>
    <xf numFmtId="3" fontId="3" fillId="0" borderId="0" xfId="4" applyNumberFormat="1" applyAlignment="1" applyProtection="1">
      <alignment horizontal="right" vertical="center"/>
      <protection locked="0"/>
    </xf>
    <xf numFmtId="3" fontId="2" fillId="0" borderId="0" xfId="3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1" fontId="3" fillId="4" borderId="8" xfId="0" applyNumberFormat="1" applyFont="1" applyFill="1" applyBorder="1" applyAlignment="1" applyProtection="1">
      <alignment horizontal="center" vertical="center"/>
      <protection locked="0"/>
    </xf>
    <xf numFmtId="2" fontId="3" fillId="2" borderId="9" xfId="0" applyNumberFormat="1" applyFont="1" applyFill="1" applyBorder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7" fontId="3" fillId="4" borderId="0" xfId="0" applyNumberFormat="1" applyFont="1" applyFill="1" applyAlignment="1" applyProtection="1">
      <alignment horizontal="right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44" fontId="3" fillId="4" borderId="11" xfId="1" applyFont="1" applyFill="1" applyBorder="1" applyAlignment="1" applyProtection="1">
      <alignment vertical="center"/>
      <protection locked="0"/>
    </xf>
    <xf numFmtId="44" fontId="0" fillId="4" borderId="11" xfId="1" applyFont="1" applyFill="1" applyBorder="1" applyAlignment="1">
      <alignment vertical="center"/>
    </xf>
    <xf numFmtId="0" fontId="3" fillId="0" borderId="0" xfId="4" applyAlignment="1">
      <alignment horizontal="center"/>
    </xf>
    <xf numFmtId="0" fontId="2" fillId="0" borderId="0" xfId="4" applyFont="1" applyAlignment="1">
      <alignment horizontal="center"/>
    </xf>
    <xf numFmtId="3" fontId="3" fillId="4" borderId="0" xfId="4" applyNumberFormat="1" applyFill="1" applyAlignment="1" applyProtection="1">
      <alignment horizontal="center" vertical="center"/>
      <protection locked="0"/>
    </xf>
    <xf numFmtId="0" fontId="3" fillId="4" borderId="8" xfId="4" applyFill="1" applyBorder="1" applyAlignment="1">
      <alignment horizontal="center"/>
    </xf>
    <xf numFmtId="44" fontId="15" fillId="0" borderId="0" xfId="1" applyFont="1"/>
    <xf numFmtId="49" fontId="16" fillId="2" borderId="0" xfId="5" applyNumberFormat="1" applyFill="1" applyBorder="1" applyAlignment="1" applyProtection="1">
      <alignment horizontal="left" vertical="center"/>
      <protection locked="0"/>
    </xf>
    <xf numFmtId="0" fontId="1" fillId="0" borderId="0" xfId="0" applyFont="1"/>
    <xf numFmtId="0" fontId="2" fillId="0" borderId="1" xfId="0" applyFont="1" applyBorder="1" applyAlignment="1" applyProtection="1">
      <alignment horizontal="center" vertical="center"/>
      <protection locked="0"/>
    </xf>
    <xf numFmtId="2" fontId="3" fillId="4" borderId="0" xfId="0" applyNumberFormat="1" applyFont="1" applyFill="1" applyAlignment="1" applyProtection="1">
      <alignment horizontal="center" vertical="center"/>
      <protection locked="0"/>
    </xf>
    <xf numFmtId="9" fontId="2" fillId="0" borderId="0" xfId="0" applyNumberFormat="1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Continuous" vertical="center"/>
      <protection locked="0"/>
    </xf>
    <xf numFmtId="0" fontId="9" fillId="0" borderId="0" xfId="0" applyFont="1" applyAlignment="1" applyProtection="1">
      <alignment vertical="center"/>
      <protection locked="0"/>
    </xf>
    <xf numFmtId="4" fontId="9" fillId="0" borderId="0" xfId="0" applyNumberFormat="1" applyFont="1" applyAlignment="1" applyProtection="1">
      <alignment vertical="center"/>
      <protection locked="0"/>
    </xf>
    <xf numFmtId="44" fontId="9" fillId="0" borderId="0" xfId="1" applyFont="1" applyFill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/>
    <xf numFmtId="164" fontId="2" fillId="6" borderId="2" xfId="0" applyNumberFormat="1" applyFont="1" applyFill="1" applyBorder="1"/>
    <xf numFmtId="0" fontId="2" fillId="2" borderId="0" xfId="0" applyFont="1" applyFill="1"/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8" fontId="3" fillId="0" borderId="0" xfId="0" applyNumberFormat="1" applyFont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6" borderId="4" xfId="0" applyFont="1" applyFill="1" applyBorder="1" applyAlignment="1">
      <alignment horizontal="center" vertical="distributed"/>
    </xf>
    <xf numFmtId="0" fontId="2" fillId="6" borderId="5" xfId="0" applyFont="1" applyFill="1" applyBorder="1" applyAlignment="1">
      <alignment horizontal="center" vertical="distributed"/>
    </xf>
    <xf numFmtId="0" fontId="2" fillId="6" borderId="6" xfId="0" applyFont="1" applyFill="1" applyBorder="1" applyAlignment="1">
      <alignment horizontal="center" vertical="distributed"/>
    </xf>
  </cellXfs>
  <cellStyles count="6">
    <cellStyle name="Comma" xfId="3" builtinId="3"/>
    <cellStyle name="Currency" xfId="1" builtinId="4"/>
    <cellStyle name="Hyperlink" xfId="5" builtinId="8"/>
    <cellStyle name="Normal" xfId="0" builtinId="0"/>
    <cellStyle name="Normal 2" xfId="4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o365531128-my.sharepoint.com/Users/Sherrie.SPRAY-TEC/Desktop/Estimate%20Revised%2010.12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eople"/>
      <sheetName val="Equipment"/>
      <sheetName val="Materials"/>
      <sheetName val="Renta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showGridLines="0" tabSelected="1" topLeftCell="A109" zoomScaleNormal="100" workbookViewId="0">
      <selection activeCell="E123" sqref="E123"/>
    </sheetView>
  </sheetViews>
  <sheetFormatPr defaultColWidth="10" defaultRowHeight="12" customHeight="1"/>
  <cols>
    <col min="1" max="1" width="16.42578125" style="16" customWidth="1"/>
    <col min="2" max="2" width="15.7109375" style="16" customWidth="1"/>
    <col min="3" max="3" width="11.7109375" style="16" customWidth="1"/>
    <col min="4" max="5" width="10" style="16" customWidth="1"/>
    <col min="6" max="6" width="15.140625" style="16" customWidth="1"/>
    <col min="7" max="7" width="10" style="16" customWidth="1"/>
    <col min="8" max="8" width="12.85546875" style="16" customWidth="1"/>
    <col min="9" max="9" width="9.7109375" style="16" customWidth="1"/>
    <col min="10" max="10" width="0.28515625" style="16" hidden="1" customWidth="1"/>
    <col min="11" max="11" width="10" style="16"/>
    <col min="12" max="12" width="10.28515625" style="16" bestFit="1" customWidth="1"/>
    <col min="13" max="16384" width="10" style="16"/>
  </cols>
  <sheetData>
    <row r="1" spans="1:8" ht="12" customHeight="1">
      <c r="B1" s="6" t="s">
        <v>0</v>
      </c>
      <c r="C1" s="19">
        <v>45847</v>
      </c>
      <c r="D1" s="20"/>
      <c r="E1" s="21"/>
      <c r="F1" s="6" t="s">
        <v>1</v>
      </c>
      <c r="G1" s="181"/>
      <c r="H1" s="181"/>
    </row>
    <row r="2" spans="1:8" ht="12" customHeight="1">
      <c r="B2" s="6" t="s">
        <v>2</v>
      </c>
      <c r="C2" s="23" t="s">
        <v>3</v>
      </c>
      <c r="D2" s="20"/>
      <c r="E2" s="21"/>
      <c r="F2" s="6" t="s">
        <v>4</v>
      </c>
      <c r="G2" s="181"/>
      <c r="H2" s="181"/>
    </row>
    <row r="3" spans="1:8" ht="12" customHeight="1">
      <c r="B3" s="6" t="s">
        <v>5</v>
      </c>
      <c r="C3" s="23" t="s">
        <v>6</v>
      </c>
      <c r="D3" s="20"/>
      <c r="E3" s="21"/>
      <c r="F3" s="6" t="s">
        <v>7</v>
      </c>
      <c r="G3" s="181"/>
      <c r="H3" s="181"/>
    </row>
    <row r="4" spans="1:8" ht="12" customHeight="1">
      <c r="B4" s="6" t="s">
        <v>8</v>
      </c>
      <c r="C4" s="23" t="s">
        <v>9</v>
      </c>
      <c r="D4" s="20"/>
      <c r="E4" s="21"/>
      <c r="F4" s="6" t="s">
        <v>10</v>
      </c>
      <c r="G4" s="22"/>
      <c r="H4" s="22"/>
    </row>
    <row r="5" spans="1:8" ht="12" customHeight="1">
      <c r="B5" s="6" t="s">
        <v>4</v>
      </c>
      <c r="C5" s="23" t="s">
        <v>11</v>
      </c>
      <c r="D5" s="21"/>
      <c r="E5" s="21"/>
      <c r="F5" s="6" t="s">
        <v>12</v>
      </c>
      <c r="G5" s="22"/>
      <c r="H5" s="22"/>
    </row>
    <row r="6" spans="1:8" ht="12" customHeight="1">
      <c r="B6" s="6" t="s">
        <v>7</v>
      </c>
      <c r="C6" s="23" t="s">
        <v>13</v>
      </c>
      <c r="D6" s="20"/>
      <c r="E6" s="21"/>
      <c r="F6" s="6" t="s">
        <v>14</v>
      </c>
      <c r="G6" s="24"/>
      <c r="H6" s="24"/>
    </row>
    <row r="7" spans="1:8" ht="12" customHeight="1">
      <c r="B7" s="6" t="s">
        <v>15</v>
      </c>
      <c r="C7" s="25"/>
      <c r="D7" s="20"/>
      <c r="E7" s="21"/>
    </row>
    <row r="8" spans="1:8" ht="12" customHeight="1">
      <c r="B8" s="6" t="s">
        <v>10</v>
      </c>
      <c r="C8" s="160"/>
      <c r="D8" s="22"/>
      <c r="E8" s="21"/>
      <c r="F8" s="27"/>
    </row>
    <row r="9" spans="1:8" ht="12" customHeight="1">
      <c r="B9" s="6" t="s">
        <v>12</v>
      </c>
      <c r="C9" s="26"/>
      <c r="D9" s="20"/>
      <c r="E9" s="21"/>
      <c r="F9" s="28"/>
    </row>
    <row r="11" spans="1:8" ht="12" customHeight="1">
      <c r="A11" s="82" t="s">
        <v>16</v>
      </c>
      <c r="D11" s="37"/>
      <c r="F11" s="17"/>
    </row>
    <row r="12" spans="1:8" ht="12" customHeight="1">
      <c r="A12" s="82" t="s">
        <v>17</v>
      </c>
      <c r="C12" s="31">
        <v>2637</v>
      </c>
      <c r="D12" s="48">
        <f>'Sq Ft Calculation'!F15</f>
        <v>0</v>
      </c>
    </row>
    <row r="13" spans="1:8" ht="12" customHeight="1">
      <c r="A13" s="32" t="s">
        <v>18</v>
      </c>
      <c r="B13" s="32"/>
      <c r="C13" s="33"/>
      <c r="D13" s="33"/>
      <c r="E13" s="33"/>
      <c r="F13" s="33"/>
      <c r="G13" s="33"/>
      <c r="H13" s="33"/>
    </row>
    <row r="14" spans="1:8" ht="12" customHeight="1">
      <c r="B14" s="162" t="s">
        <v>19</v>
      </c>
      <c r="C14" s="162" t="s">
        <v>20</v>
      </c>
      <c r="D14" s="162"/>
      <c r="E14" s="162" t="s">
        <v>21</v>
      </c>
      <c r="F14" s="162"/>
      <c r="G14" s="162" t="s">
        <v>22</v>
      </c>
      <c r="H14" s="162" t="s">
        <v>23</v>
      </c>
    </row>
    <row r="15" spans="1:8" ht="12" customHeight="1">
      <c r="B15" s="86"/>
      <c r="C15" s="86"/>
      <c r="D15" s="86"/>
      <c r="E15" s="86"/>
      <c r="F15" s="86"/>
      <c r="G15" s="86"/>
      <c r="H15" s="86"/>
    </row>
    <row r="16" spans="1:8" ht="12" customHeight="1">
      <c r="A16" s="82" t="s">
        <v>24</v>
      </c>
      <c r="B16" s="86" t="s">
        <v>25</v>
      </c>
      <c r="C16" s="6" t="s">
        <v>26</v>
      </c>
      <c r="E16" s="38"/>
      <c r="F16" s="33"/>
      <c r="G16" s="36"/>
      <c r="H16" s="36"/>
    </row>
    <row r="17" spans="1:9" ht="12" customHeight="1">
      <c r="A17" s="82"/>
      <c r="B17" s="86" t="s">
        <v>27</v>
      </c>
      <c r="C17" s="6" t="s">
        <v>28</v>
      </c>
      <c r="E17" s="38"/>
      <c r="F17" s="33"/>
      <c r="G17" s="36"/>
      <c r="H17" s="36"/>
    </row>
    <row r="18" spans="1:9" ht="12" customHeight="1">
      <c r="D18" s="6" t="s">
        <v>29</v>
      </c>
      <c r="E18" s="29"/>
      <c r="G18" s="39"/>
      <c r="H18" s="39"/>
    </row>
    <row r="19" spans="1:9" ht="12" customHeight="1">
      <c r="A19" s="34">
        <v>11</v>
      </c>
      <c r="B19" s="33" t="str">
        <f t="shared" ref="B19:B21" si="0">IF(A19=11,"Gaco 2.0 lb.",IF(A19=12,"Gaco 0.5 lb.",IF(A19=21,"NCFI 2.0 lb.",IF(A19=22,"NCFI 0.5 lb.",IF(A19=31,"BASF 2.0 lb.",IF(A19=32,"BASF 0.5 lb.",IF(A19=41,"PSI 2.0 lb.",IF(A19=42,"PSI 0.5 lb.",IF(A19=51,"Demilec 2.0 lb.",IF(A19=52,"Demilec 0.5 lb.",""))))))))))</f>
        <v>Gaco 2.0 lb.</v>
      </c>
      <c r="C19" s="40">
        <v>2800</v>
      </c>
      <c r="D19" s="41">
        <v>4.25</v>
      </c>
      <c r="E19" s="42">
        <v>1.63</v>
      </c>
      <c r="F19" s="43">
        <v>13500</v>
      </c>
      <c r="G19" s="36">
        <f>((C19/F19)*D19)*1000</f>
        <v>881.48148148148141</v>
      </c>
      <c r="H19" s="36">
        <f>E19*G19</f>
        <v>1436.8148148148146</v>
      </c>
    </row>
    <row r="20" spans="1:9" ht="12" customHeight="1">
      <c r="A20" s="34">
        <v>11</v>
      </c>
      <c r="B20" s="33" t="str">
        <f t="shared" si="0"/>
        <v>Gaco 2.0 lb.</v>
      </c>
      <c r="C20" s="40">
        <v>0</v>
      </c>
      <c r="D20" s="41">
        <v>2</v>
      </c>
      <c r="E20" s="42">
        <v>2.2000000000000002</v>
      </c>
      <c r="F20" s="43">
        <v>3500</v>
      </c>
      <c r="G20" s="36">
        <f>((C20/F20)*D20)*1000</f>
        <v>0</v>
      </c>
      <c r="H20" s="36">
        <f>E20*G20</f>
        <v>0</v>
      </c>
    </row>
    <row r="21" spans="1:9" ht="12" customHeight="1">
      <c r="A21" s="34">
        <v>11</v>
      </c>
      <c r="B21" s="33" t="str">
        <f t="shared" si="0"/>
        <v>Gaco 2.0 lb.</v>
      </c>
      <c r="C21" s="40">
        <v>0</v>
      </c>
      <c r="D21" s="41">
        <v>2</v>
      </c>
      <c r="E21" s="42">
        <v>2.2000000000000002</v>
      </c>
      <c r="F21" s="43">
        <v>3500</v>
      </c>
      <c r="G21" s="36">
        <f>((C21/F21)*D21)*1000</f>
        <v>0</v>
      </c>
      <c r="H21" s="36">
        <f>E21*G21</f>
        <v>0</v>
      </c>
      <c r="I21" s="86"/>
    </row>
    <row r="22" spans="1:9" ht="12" customHeight="1">
      <c r="A22"/>
      <c r="B22"/>
      <c r="C22"/>
      <c r="D22"/>
      <c r="E22"/>
      <c r="F22"/>
      <c r="G22"/>
      <c r="H22"/>
      <c r="I22" s="86"/>
    </row>
    <row r="23" spans="1:9" ht="12" customHeight="1">
      <c r="B23"/>
      <c r="C23" s="90" t="s">
        <v>30</v>
      </c>
      <c r="D23" s="90"/>
      <c r="E23"/>
      <c r="F23"/>
      <c r="G23"/>
      <c r="H23"/>
      <c r="I23" s="86"/>
    </row>
    <row r="24" spans="1:9" ht="12" customHeight="1">
      <c r="A24" s="96" t="s">
        <v>31</v>
      </c>
      <c r="B24" s="88"/>
      <c r="C24" s="107">
        <v>0</v>
      </c>
      <c r="D24" s="46"/>
      <c r="E24" s="124">
        <v>0.75</v>
      </c>
      <c r="G24" s="86"/>
      <c r="H24" s="73">
        <f>C24*E24</f>
        <v>0</v>
      </c>
      <c r="I24" s="86"/>
    </row>
    <row r="25" spans="1:9" ht="12" customHeight="1">
      <c r="A25"/>
      <c r="B25"/>
      <c r="C25"/>
      <c r="D25"/>
      <c r="E25"/>
      <c r="F25"/>
      <c r="G25"/>
      <c r="H25"/>
    </row>
    <row r="26" spans="1:9" ht="12" customHeight="1">
      <c r="A26" s="82" t="s">
        <v>32</v>
      </c>
      <c r="C26" s="125">
        <v>0</v>
      </c>
      <c r="E26" s="103">
        <v>30</v>
      </c>
      <c r="G26" s="102">
        <f>C26/250</f>
        <v>0</v>
      </c>
      <c r="H26" s="36">
        <f>E26*G26</f>
        <v>0</v>
      </c>
    </row>
    <row r="27" spans="1:9" ht="12" customHeight="1">
      <c r="A27" s="96"/>
      <c r="B27"/>
      <c r="C27"/>
      <c r="D27"/>
      <c r="E27"/>
      <c r="F27"/>
      <c r="G27"/>
      <c r="H27"/>
    </row>
    <row r="28" spans="1:9" ht="12" customHeight="1">
      <c r="A28" s="82" t="s">
        <v>33</v>
      </c>
      <c r="B28" s="86" t="s">
        <v>27</v>
      </c>
      <c r="C28" s="82" t="s">
        <v>34</v>
      </c>
      <c r="D28" s="37"/>
    </row>
    <row r="29" spans="1:9" ht="12" customHeight="1">
      <c r="A29" s="109"/>
      <c r="C29" s="86" t="s">
        <v>20</v>
      </c>
      <c r="D29" s="86" t="s">
        <v>35</v>
      </c>
    </row>
    <row r="30" spans="1:9" ht="12" customHeight="1">
      <c r="A30" s="35">
        <v>1</v>
      </c>
      <c r="B30" s="33" t="str">
        <f>IF(A30=1,"DC 315 TB",IF(A30=2,"Acrylic",IF(A30=3,"NoBurn TB","")))</f>
        <v>DC 315 TB</v>
      </c>
      <c r="C30" s="40">
        <v>0</v>
      </c>
      <c r="D30" s="41">
        <v>1.5</v>
      </c>
      <c r="E30" s="44">
        <v>52</v>
      </c>
      <c r="F30" s="33"/>
      <c r="G30" s="36">
        <f>(((C30/100)*D30))/((100-A$34)/100)</f>
        <v>0</v>
      </c>
      <c r="H30" s="36">
        <f>E30*G30</f>
        <v>0</v>
      </c>
    </row>
    <row r="31" spans="1:9" ht="12" customHeight="1">
      <c r="A31" s="35">
        <v>1</v>
      </c>
      <c r="B31" s="33" t="str">
        <f t="shared" ref="B31:B32" si="1">IF(A31=1,"DC 315 TB",IF(A31=2,"Acrylic",IF(A31=3,"NoBurn TB","")))</f>
        <v>DC 315 TB</v>
      </c>
      <c r="C31" s="40">
        <v>0</v>
      </c>
      <c r="D31" s="41">
        <v>1.5</v>
      </c>
      <c r="E31" s="44">
        <v>52</v>
      </c>
      <c r="F31" s="33"/>
      <c r="G31" s="36">
        <f>(((C31/100)*D31))/((100-A$34)/100)</f>
        <v>0</v>
      </c>
      <c r="H31" s="36">
        <f>E31*G31</f>
        <v>0</v>
      </c>
    </row>
    <row r="32" spans="1:9" ht="12" customHeight="1">
      <c r="A32" s="35">
        <v>1</v>
      </c>
      <c r="B32" s="33" t="str">
        <f t="shared" si="1"/>
        <v>DC 315 TB</v>
      </c>
      <c r="C32" s="40">
        <v>0</v>
      </c>
      <c r="D32" s="41">
        <v>1.5</v>
      </c>
      <c r="E32" s="44">
        <v>52</v>
      </c>
      <c r="F32" s="33"/>
      <c r="G32" s="36">
        <f>(((C32/100)*D32))/((100-A$34)/100)</f>
        <v>0</v>
      </c>
      <c r="H32" s="36">
        <f>E32*G32</f>
        <v>0</v>
      </c>
    </row>
    <row r="33" spans="1:9" ht="12" customHeight="1">
      <c r="A33" s="109" t="s">
        <v>36</v>
      </c>
      <c r="B33" s="33"/>
      <c r="C33" s="45"/>
      <c r="D33" s="46"/>
      <c r="E33" s="38"/>
      <c r="F33" s="33"/>
      <c r="G33" s="36"/>
      <c r="H33" s="36"/>
    </row>
    <row r="34" spans="1:9" ht="12" customHeight="1">
      <c r="A34" s="47">
        <v>20</v>
      </c>
      <c r="B34" s="33"/>
      <c r="C34" s="48"/>
      <c r="D34" s="49"/>
      <c r="E34" s="38"/>
      <c r="F34" s="33"/>
      <c r="G34" s="36"/>
      <c r="H34" s="36"/>
    </row>
    <row r="35" spans="1:9" ht="12" customHeight="1">
      <c r="D35" s="86"/>
    </row>
    <row r="36" spans="1:9" ht="12" customHeight="1">
      <c r="A36" s="82" t="s">
        <v>37</v>
      </c>
      <c r="B36" s="86" t="s">
        <v>27</v>
      </c>
      <c r="C36" s="82" t="s">
        <v>38</v>
      </c>
      <c r="D36" s="86"/>
      <c r="I36"/>
    </row>
    <row r="37" spans="1:9" ht="12" customHeight="1">
      <c r="A37" s="34">
        <v>1</v>
      </c>
      <c r="B37" s="33" t="str">
        <f>IF(A37=1,"Naphtha VM&amp;P",IF(A37=2,"Mineral Spirits",IF(A37=3,"Xylene","")))</f>
        <v>Naphtha VM&amp;P</v>
      </c>
      <c r="C37" s="48"/>
      <c r="D37" s="49"/>
      <c r="E37" s="44">
        <v>10</v>
      </c>
      <c r="F37" s="33"/>
      <c r="G37" s="36">
        <f>((G30+G31+G32)/55)*4</f>
        <v>0</v>
      </c>
      <c r="H37" s="36">
        <f>E37*G37</f>
        <v>0</v>
      </c>
    </row>
    <row r="38" spans="1:9" ht="12" customHeight="1">
      <c r="A38" s="37"/>
      <c r="B38" s="33"/>
      <c r="C38" s="48"/>
      <c r="D38" s="49"/>
      <c r="E38" s="38"/>
      <c r="F38" s="33"/>
      <c r="G38" s="36"/>
      <c r="H38" s="36"/>
    </row>
    <row r="39" spans="1:9" ht="12" customHeight="1">
      <c r="A39" s="136" t="s">
        <v>39</v>
      </c>
      <c r="B39" s="137" t="s">
        <v>27</v>
      </c>
      <c r="C39" s="132" t="s">
        <v>40</v>
      </c>
      <c r="D39" s="131"/>
      <c r="E39" s="131"/>
      <c r="F39" s="131"/>
      <c r="G39" s="131"/>
      <c r="H39" s="131"/>
    </row>
    <row r="40" spans="1:9" ht="12" customHeight="1">
      <c r="A40" s="136"/>
      <c r="B40" s="137"/>
      <c r="C40" s="137" t="s">
        <v>30</v>
      </c>
      <c r="D40" s="156" t="s">
        <v>41</v>
      </c>
      <c r="E40" s="131"/>
      <c r="F40" s="131"/>
      <c r="G40" s="131"/>
      <c r="H40" s="131"/>
    </row>
    <row r="41" spans="1:9" ht="12" customHeight="1">
      <c r="A41" s="134">
        <v>2</v>
      </c>
      <c r="B41" s="135" t="str">
        <f>IF(A41=1,"Can Foam",IF(A41=2,"Liquid Flashing",IF(A41=3,"Pointing Mastic","")))</f>
        <v>Liquid Flashing</v>
      </c>
      <c r="C41" s="157">
        <v>0</v>
      </c>
      <c r="D41" s="158">
        <v>0</v>
      </c>
      <c r="E41" s="140">
        <v>20</v>
      </c>
      <c r="F41" s="135"/>
      <c r="G41" s="141">
        <f>IF(D41=0,0,C41/D41)</f>
        <v>0</v>
      </c>
      <c r="H41" s="138">
        <f>G41*E41</f>
        <v>0</v>
      </c>
    </row>
    <row r="42" spans="1:9" ht="12" customHeight="1">
      <c r="A42" s="136"/>
      <c r="B42" s="137"/>
      <c r="C42" s="137"/>
      <c r="D42" s="155"/>
      <c r="E42" s="131"/>
      <c r="F42" s="131"/>
      <c r="G42" s="131"/>
      <c r="H42" s="131"/>
    </row>
    <row r="43" spans="1:9" ht="12" customHeight="1">
      <c r="A43" s="134">
        <v>3</v>
      </c>
      <c r="B43" s="135" t="str">
        <f>IF(A43=1,"Can Foam",IF(A43=2,"Liquid Flashing",IF(A43=3,"Pointing Mastic","")))</f>
        <v>Pointing Mastic</v>
      </c>
      <c r="C43" s="157">
        <v>0</v>
      </c>
      <c r="D43" s="158">
        <v>0</v>
      </c>
      <c r="E43" s="140">
        <v>10</v>
      </c>
      <c r="F43" s="135"/>
      <c r="G43" s="141">
        <f>IF(D43=0,0,C43/D43)</f>
        <v>0</v>
      </c>
      <c r="H43" s="138">
        <f>G43*E43</f>
        <v>0</v>
      </c>
    </row>
    <row r="44" spans="1:9" ht="12" customHeight="1">
      <c r="A44" s="133"/>
      <c r="B44" s="135"/>
      <c r="C44" s="142"/>
      <c r="D44" s="131"/>
      <c r="E44" s="139"/>
      <c r="F44" s="135"/>
      <c r="G44" s="141"/>
      <c r="H44" s="138"/>
    </row>
    <row r="45" spans="1:9" ht="12" customHeight="1">
      <c r="A45" s="6" t="s">
        <v>42</v>
      </c>
      <c r="B45" s="86" t="s">
        <v>27</v>
      </c>
      <c r="C45" s="82" t="s">
        <v>43</v>
      </c>
      <c r="F45" s="33"/>
      <c r="G45" s="127"/>
      <c r="H45" s="36"/>
    </row>
    <row r="46" spans="1:9" ht="12" customHeight="1">
      <c r="A46" s="37"/>
      <c r="B46" s="33"/>
      <c r="C46" s="143" t="s">
        <v>44</v>
      </c>
      <c r="D46" s="144" t="s">
        <v>45</v>
      </c>
      <c r="E46" s="38"/>
      <c r="F46" s="86" t="s">
        <v>46</v>
      </c>
      <c r="G46" s="127"/>
      <c r="H46" s="36"/>
    </row>
    <row r="47" spans="1:9" ht="12" customHeight="1">
      <c r="A47" s="35">
        <v>1</v>
      </c>
      <c r="B47" s="33" t="str">
        <f>IF(A47=1,"Forklift",IF(A47=2,"Boom",IF(A47=3,"Scissor",IF(A47=4,"Articulating",""))))</f>
        <v>Forklift</v>
      </c>
      <c r="C47" s="126" t="s">
        <v>47</v>
      </c>
      <c r="D47" s="145">
        <v>0</v>
      </c>
      <c r="E47" s="129">
        <v>0</v>
      </c>
      <c r="F47" s="146">
        <v>20</v>
      </c>
      <c r="G47" s="127"/>
      <c r="H47" s="147">
        <f>D47*E47*(1+(F47/100))</f>
        <v>0</v>
      </c>
    </row>
    <row r="48" spans="1:9" ht="12" customHeight="1">
      <c r="A48" s="35">
        <v>1</v>
      </c>
      <c r="B48" s="33" t="str">
        <f>IF(A48=1,"Forklift",IF(A48=2,"Boom",IF(A48=3,"Scissor",IF(A48=4,"Articulating",""))))</f>
        <v>Forklift</v>
      </c>
      <c r="C48" s="126" t="s">
        <v>47</v>
      </c>
      <c r="D48" s="145">
        <v>0</v>
      </c>
      <c r="E48" s="129">
        <v>0</v>
      </c>
      <c r="F48" s="146">
        <v>20</v>
      </c>
      <c r="G48" s="127"/>
      <c r="H48" s="147">
        <f>D48*E48*(1+(F48/100))</f>
        <v>0</v>
      </c>
    </row>
    <row r="49" spans="1:8" ht="12" customHeight="1">
      <c r="A49" s="37"/>
      <c r="B49" s="33"/>
      <c r="C49" s="128"/>
      <c r="D49" s="148"/>
      <c r="E49" s="149"/>
      <c r="F49" s="46"/>
      <c r="G49" s="127"/>
      <c r="H49" s="147"/>
    </row>
    <row r="50" spans="1:8" ht="12" customHeight="1">
      <c r="A50" s="82" t="s">
        <v>48</v>
      </c>
      <c r="B50" s="150"/>
      <c r="C50" s="55"/>
      <c r="E50" s="151">
        <v>0</v>
      </c>
      <c r="F50" s="33"/>
      <c r="G50" s="152">
        <v>0</v>
      </c>
      <c r="H50" s="36">
        <f>E50*G50</f>
        <v>0</v>
      </c>
    </row>
    <row r="51" spans="1:8" ht="12" customHeight="1">
      <c r="A51" s="82"/>
      <c r="B51" s="33"/>
      <c r="C51" s="55"/>
      <c r="E51" s="38"/>
      <c r="F51" s="33"/>
      <c r="G51" s="51"/>
      <c r="H51" s="36"/>
    </row>
    <row r="52" spans="1:8" ht="12" customHeight="1">
      <c r="C52" s="86" t="s">
        <v>49</v>
      </c>
    </row>
    <row r="53" spans="1:8" ht="12" customHeight="1">
      <c r="A53" s="82" t="s">
        <v>50</v>
      </c>
      <c r="B53" s="54"/>
      <c r="C53" s="53">
        <v>3</v>
      </c>
      <c r="E53" s="44">
        <v>40</v>
      </c>
      <c r="F53" s="33"/>
      <c r="G53" s="51"/>
      <c r="H53" s="36">
        <f>C53*E53</f>
        <v>120</v>
      </c>
    </row>
    <row r="55" spans="1:8" ht="12" customHeight="1">
      <c r="A55" s="82" t="s">
        <v>51</v>
      </c>
      <c r="B55" s="52"/>
      <c r="C55" s="53">
        <v>0</v>
      </c>
      <c r="E55" s="44">
        <v>40</v>
      </c>
      <c r="F55" s="33"/>
      <c r="G55" s="51"/>
      <c r="H55" s="36">
        <f>C55*E55</f>
        <v>0</v>
      </c>
    </row>
    <row r="57" spans="1:8" ht="12" customHeight="1">
      <c r="A57" s="82" t="s">
        <v>52</v>
      </c>
      <c r="B57" s="23"/>
      <c r="C57" s="55"/>
      <c r="E57" s="44">
        <v>0</v>
      </c>
      <c r="F57" s="33"/>
      <c r="H57" s="36">
        <f>E57</f>
        <v>0</v>
      </c>
    </row>
    <row r="59" spans="1:8" ht="12" customHeight="1">
      <c r="A59" s="82" t="s">
        <v>53</v>
      </c>
      <c r="B59" s="22"/>
      <c r="C59" s="55"/>
      <c r="E59" s="44">
        <v>0</v>
      </c>
      <c r="F59" s="33"/>
      <c r="H59" s="36">
        <f>E59</f>
        <v>0</v>
      </c>
    </row>
    <row r="60" spans="1:8" ht="12" customHeight="1">
      <c r="A60"/>
      <c r="B60"/>
      <c r="C60"/>
      <c r="D60"/>
      <c r="E60"/>
      <c r="F60"/>
      <c r="G60"/>
      <c r="H60" s="36"/>
    </row>
    <row r="61" spans="1:8" ht="12" customHeight="1">
      <c r="A61" s="96" t="s">
        <v>54</v>
      </c>
      <c r="B61"/>
      <c r="C61"/>
      <c r="D61"/>
      <c r="E61" s="105">
        <v>2000</v>
      </c>
      <c r="F61"/>
      <c r="G61" s="104">
        <v>0</v>
      </c>
      <c r="H61" s="36">
        <f>E61*G61</f>
        <v>0</v>
      </c>
    </row>
    <row r="62" spans="1:8" ht="12" customHeight="1">
      <c r="A62" s="96"/>
      <c r="B62"/>
      <c r="C62"/>
      <c r="D62"/>
      <c r="E62"/>
      <c r="F62"/>
      <c r="G62"/>
      <c r="H62" s="36"/>
    </row>
    <row r="63" spans="1:8" ht="12" customHeight="1">
      <c r="A63" s="96" t="s">
        <v>55</v>
      </c>
      <c r="B63"/>
      <c r="C63"/>
      <c r="D63"/>
      <c r="E63" s="106"/>
      <c r="F63"/>
      <c r="G63" s="108">
        <f>C12</f>
        <v>2637</v>
      </c>
      <c r="H63" s="36">
        <f>E63*G63</f>
        <v>0</v>
      </c>
    </row>
    <row r="64" spans="1:8" ht="12" customHeight="1">
      <c r="A64"/>
      <c r="B64"/>
      <c r="C64"/>
      <c r="D64"/>
      <c r="E64"/>
      <c r="F64"/>
      <c r="G64"/>
      <c r="H64"/>
    </row>
    <row r="65" spans="1:11" ht="12" customHeight="1">
      <c r="A65" s="82" t="s">
        <v>56</v>
      </c>
      <c r="B65" s="99"/>
      <c r="C65" s="55"/>
      <c r="E65" s="44">
        <v>0</v>
      </c>
      <c r="F65" s="33"/>
      <c r="G65" s="51">
        <f>(((G26+G30+G31+G32+G37)/50)+(G19+G20+G21)/500)+1</f>
        <v>2.7629629629629626</v>
      </c>
      <c r="H65" s="36">
        <f>E65*G65</f>
        <v>0</v>
      </c>
    </row>
    <row r="66" spans="1:11" ht="12" customHeight="1">
      <c r="A66" s="82"/>
      <c r="B66" s="99"/>
      <c r="C66" s="55"/>
      <c r="E66"/>
      <c r="F66" s="33"/>
      <c r="G66" s="51"/>
      <c r="H66" s="36"/>
    </row>
    <row r="67" spans="1:11" ht="12" customHeight="1">
      <c r="A67"/>
      <c r="B67" s="90" t="s">
        <v>57</v>
      </c>
      <c r="C67" s="90" t="s">
        <v>58</v>
      </c>
      <c r="D67"/>
      <c r="E67"/>
      <c r="F67"/>
      <c r="G67"/>
      <c r="H67"/>
    </row>
    <row r="68" spans="1:11" ht="12" customHeight="1">
      <c r="A68" s="82" t="s">
        <v>59</v>
      </c>
      <c r="B68" s="56">
        <v>2</v>
      </c>
      <c r="C68" s="53">
        <v>20</v>
      </c>
      <c r="D68" s="17"/>
      <c r="E68" s="44">
        <v>0.65</v>
      </c>
      <c r="F68" s="33"/>
      <c r="G68" s="51"/>
      <c r="H68" s="36">
        <f>B68*C68*E68</f>
        <v>26</v>
      </c>
    </row>
    <row r="70" spans="1:11" ht="12" customHeight="1">
      <c r="A70" s="82" t="s">
        <v>60</v>
      </c>
      <c r="B70" s="56">
        <v>2</v>
      </c>
      <c r="C70" s="53">
        <v>20</v>
      </c>
      <c r="D70" s="17"/>
      <c r="E70" s="44">
        <v>1.1499999999999999</v>
      </c>
      <c r="F70" s="33"/>
      <c r="G70" s="51"/>
      <c r="H70" s="36">
        <f>B70*C70*E70</f>
        <v>46</v>
      </c>
    </row>
    <row r="71" spans="1:11" ht="12" customHeight="1">
      <c r="A71" s="32"/>
      <c r="B71" s="32"/>
      <c r="C71" s="33"/>
      <c r="D71" s="33"/>
      <c r="E71" s="33"/>
      <c r="F71" s="33"/>
      <c r="G71" s="33"/>
      <c r="H71" s="32" t="s">
        <v>61</v>
      </c>
    </row>
    <row r="72" spans="1:11" ht="12" customHeight="1">
      <c r="B72" s="30"/>
      <c r="F72" s="57"/>
      <c r="G72" s="58" t="s">
        <v>62</v>
      </c>
      <c r="H72" s="59">
        <f>SUM(H19:H70)</f>
        <v>1628.8148148148146</v>
      </c>
    </row>
    <row r="73" spans="1:11" ht="12.75" customHeight="1">
      <c r="B73" s="30"/>
      <c r="E73" s="17"/>
      <c r="F73" s="58" t="s">
        <v>63</v>
      </c>
      <c r="G73" s="83">
        <v>0.06</v>
      </c>
      <c r="H73" s="59">
        <f>(H72*G73)</f>
        <v>97.728888888888875</v>
      </c>
    </row>
    <row r="74" spans="1:11" ht="18" customHeight="1">
      <c r="A74" s="82" t="s">
        <v>64</v>
      </c>
    </row>
    <row r="75" spans="1:11" ht="12" customHeight="1">
      <c r="A75" s="32" t="s">
        <v>18</v>
      </c>
      <c r="B75" s="32"/>
    </row>
    <row r="76" spans="1:11" ht="36.75" customHeight="1">
      <c r="B76" s="60" t="s">
        <v>65</v>
      </c>
      <c r="C76" s="60" t="s">
        <v>66</v>
      </c>
      <c r="D76" s="60" t="s">
        <v>67</v>
      </c>
      <c r="E76" s="60" t="s">
        <v>68</v>
      </c>
      <c r="F76" s="60" t="s">
        <v>69</v>
      </c>
      <c r="G76" s="60" t="s">
        <v>70</v>
      </c>
      <c r="H76" s="60" t="s">
        <v>23</v>
      </c>
      <c r="J76" s="60" t="s">
        <v>71</v>
      </c>
      <c r="K76" s="68"/>
    </row>
    <row r="77" spans="1:11" ht="12" customHeight="1">
      <c r="D77" s="86"/>
      <c r="F77" s="86"/>
      <c r="K77" s="68"/>
    </row>
    <row r="78" spans="1:11" ht="12" customHeight="1">
      <c r="A78" s="82" t="s">
        <v>72</v>
      </c>
      <c r="B78" s="61">
        <v>0.1</v>
      </c>
      <c r="C78" s="43">
        <v>3</v>
      </c>
      <c r="D78" s="62">
        <f>(B78*People!B11)*C78</f>
        <v>3</v>
      </c>
      <c r="E78" s="63"/>
      <c r="F78" s="64"/>
      <c r="G78" s="65">
        <f>(E78+F78)*People!C3</f>
        <v>0</v>
      </c>
      <c r="H78" s="66">
        <f>IF(G78=0, B78*J78, D78*G78)</f>
        <v>93.600000000000009</v>
      </c>
      <c r="J78" s="67">
        <f>IF(C78=1,People!$D$12)+IF(C78=2,People!$E$12)+IF(C78=3,People!$F$12)+IF(C78=4,People!$G$12)+IF(C78=5,People!$H$12)+IF(C78=6,People!$I$12)+IF(C78=7,People!$J$12)+IF(C78=8,People!$K$12)</f>
        <v>936</v>
      </c>
      <c r="K78" s="68"/>
    </row>
    <row r="79" spans="1:11" ht="12" customHeight="1">
      <c r="B79" s="33"/>
      <c r="C79" s="29"/>
      <c r="E79" s="86"/>
      <c r="J79" s="69"/>
      <c r="K79" s="68"/>
    </row>
    <row r="80" spans="1:11" ht="12" customHeight="1">
      <c r="A80" s="82" t="s">
        <v>73</v>
      </c>
      <c r="B80" s="70">
        <v>0.25</v>
      </c>
      <c r="C80" s="43">
        <v>3</v>
      </c>
      <c r="D80" s="62">
        <f>(B80*People!B11)*C80</f>
        <v>7.5</v>
      </c>
      <c r="E80" s="63"/>
      <c r="F80" s="71"/>
      <c r="G80" s="65">
        <f>(E80+F80)*People!C3</f>
        <v>0</v>
      </c>
      <c r="H80" s="66">
        <f>IF(G80=0, B80*J80, D80*G80)</f>
        <v>234</v>
      </c>
      <c r="J80" s="67">
        <f>IF(C80=1,People!D12)+IF(C80=2,People!E12)+IF(C80=3,People!F12)+IF(C80=4,People!G12)+IF(C80=5,People!H12)+IF(C80=6,People!I12)+IF(C80=7,People!J12)+IF(C80=8,People!K12)</f>
        <v>936</v>
      </c>
      <c r="K80" s="68"/>
    </row>
    <row r="81" spans="1:11" ht="12" customHeight="1">
      <c r="B81" s="86"/>
      <c r="C81" s="29"/>
      <c r="J81" s="69"/>
      <c r="K81" s="68"/>
    </row>
    <row r="82" spans="1:11" ht="12" customHeight="1">
      <c r="A82" s="82" t="s">
        <v>74</v>
      </c>
      <c r="B82" s="70"/>
      <c r="C82" s="43"/>
      <c r="D82" s="62">
        <f>(B82*People!B11)*C82</f>
        <v>0</v>
      </c>
      <c r="E82" s="63"/>
      <c r="F82" s="71"/>
      <c r="G82" s="65">
        <f>(E82+F82)*People!C3</f>
        <v>0</v>
      </c>
      <c r="H82" s="66">
        <f>IF(G82=0, B82*J82, D82*G82)</f>
        <v>0</v>
      </c>
      <c r="J82" s="67">
        <f>IF(C82=1,People!D12)+IF(C82=2,People!E12)+IF(C82=3,People!F12)+IF(C82=4,People!G12)+IF(C82=5,People!H12)+IF(C82=6,People!I12)+IF(C82=7,People!J12)+IF(C82=8,People!K12)</f>
        <v>0</v>
      </c>
      <c r="K82" s="68"/>
    </row>
    <row r="83" spans="1:11" ht="12" customHeight="1">
      <c r="B83" s="86"/>
      <c r="C83" s="29"/>
      <c r="J83" s="69"/>
    </row>
    <row r="84" spans="1:11" ht="12" customHeight="1">
      <c r="A84" s="82" t="s">
        <v>31</v>
      </c>
      <c r="B84" s="70"/>
      <c r="C84" s="43"/>
      <c r="D84" s="62">
        <f>(B84*People!B11)*C84</f>
        <v>0</v>
      </c>
      <c r="E84" s="63"/>
      <c r="F84" s="71"/>
      <c r="G84" s="65">
        <f>(E84+F84)*People!C3</f>
        <v>0</v>
      </c>
      <c r="H84" s="66">
        <f>IF(G84=0, B84*J84, D84*G84)</f>
        <v>0</v>
      </c>
      <c r="J84" s="67">
        <f>IF(C84=1,People!D12)+IF(C84=2,People!E12)+IF(C84=3,People!F12)+IF(C84=4,People!G12)+IF(C84=5,People!H12)+IF(C84=6,People!I12)+IF(C84=7,People!J12)+IF(C84=8,People!K12)</f>
        <v>0</v>
      </c>
    </row>
    <row r="85" spans="1:11" ht="12" customHeight="1">
      <c r="B85" s="86"/>
      <c r="C85" s="29"/>
      <c r="J85" s="69"/>
    </row>
    <row r="86" spans="1:11" ht="12" customHeight="1">
      <c r="A86" s="82" t="s">
        <v>24</v>
      </c>
      <c r="B86" s="70">
        <v>1.5</v>
      </c>
      <c r="C86" s="43">
        <v>3</v>
      </c>
      <c r="D86" s="62">
        <f>(B86*People!B11)*C86</f>
        <v>45</v>
      </c>
      <c r="E86" s="63"/>
      <c r="F86" s="71"/>
      <c r="G86" s="65">
        <f>(E86+F86)*People!C3</f>
        <v>0</v>
      </c>
      <c r="H86" s="66">
        <f>IF(G86=0, B86*J86, D86*G86)</f>
        <v>1404</v>
      </c>
      <c r="J86" s="67">
        <f>IF(C86=1,People!D12)+IF(C86=2,People!E12)+IF(C86=3,People!F12)+IF(C86=4,People!G12)+IF(C86=5,People!H12)+IF(C86=6,People!I12)+IF(C86=7,People!J12)+IF(C86=8,People!K12)</f>
        <v>936</v>
      </c>
    </row>
    <row r="87" spans="1:11" ht="12" customHeight="1">
      <c r="B87" s="86"/>
      <c r="C87" s="29"/>
      <c r="J87" s="69"/>
    </row>
    <row r="88" spans="1:11" ht="12" customHeight="1">
      <c r="A88" s="82" t="s">
        <v>75</v>
      </c>
      <c r="B88" s="70"/>
      <c r="C88" s="43"/>
      <c r="D88" s="62">
        <f>(B88*People!B11)*C88</f>
        <v>0</v>
      </c>
      <c r="E88" s="63"/>
      <c r="F88" s="71"/>
      <c r="G88" s="65">
        <f>(E88+F88)*People!C3</f>
        <v>0</v>
      </c>
      <c r="H88" s="66">
        <f>IF(G88=0, B88*J88, D88*G88)</f>
        <v>0</v>
      </c>
      <c r="J88" s="67">
        <f>IF(C88=1,People!D12)+IF(C88=2,People!E12)+IF(C88=3,People!F12)+IF(C88=4,People!G12)+IF(C88=5,People!H12)+IF(C88=6,People!I12)+IF(C88=7,People!J12)+IF(C88=8,People!K12)</f>
        <v>0</v>
      </c>
    </row>
    <row r="89" spans="1:11" ht="12" customHeight="1">
      <c r="B89" s="86"/>
      <c r="C89" s="29"/>
      <c r="J89" s="69"/>
    </row>
    <row r="90" spans="1:11" ht="12" customHeight="1">
      <c r="A90" s="82" t="s">
        <v>52</v>
      </c>
      <c r="B90" s="70"/>
      <c r="C90" s="43"/>
      <c r="D90" s="62">
        <f>(B90*People!B11)*C90</f>
        <v>0</v>
      </c>
      <c r="E90" s="63"/>
      <c r="F90" s="71"/>
      <c r="G90" s="65">
        <f>(E90+F90)*People!C3</f>
        <v>0</v>
      </c>
      <c r="H90" s="66">
        <f>IF(G90=0, B90*J90, D90*G90)</f>
        <v>0</v>
      </c>
      <c r="J90" s="67">
        <f>IF(C90=1,People!D12)+IF(C90=2,People!E12)+IF(C90=3,People!F12)+IF(C90=4,People!G12)+IF(C90=5,People!H12)+IF(C90=6,People!I12)+IF(C90=7,People!J12)+IF(C90=8,People!K12)</f>
        <v>0</v>
      </c>
    </row>
    <row r="91" spans="1:11" ht="12" customHeight="1">
      <c r="B91" s="86"/>
      <c r="C91" s="29"/>
      <c r="J91" s="69"/>
    </row>
    <row r="92" spans="1:11" ht="12" customHeight="1">
      <c r="A92" s="82" t="s">
        <v>76</v>
      </c>
      <c r="B92" s="70">
        <v>0.15</v>
      </c>
      <c r="C92" s="43">
        <v>3</v>
      </c>
      <c r="D92" s="62">
        <f>(B92*People!B11)*C92</f>
        <v>4.5</v>
      </c>
      <c r="E92" s="63"/>
      <c r="F92" s="71"/>
      <c r="G92" s="65">
        <f>(E92+F92)*People!C3</f>
        <v>0</v>
      </c>
      <c r="H92" s="66">
        <f>IF(G92=0, B92*J92, D92*G92)</f>
        <v>140.4</v>
      </c>
      <c r="J92" s="67">
        <f>IF(C92=1,People!D12)+IF(C92=2,People!E12)+IF(C92=3,People!F12)+IF(C92=4,People!G12)+IF(C92=5,People!H12)+IF(C92=6,People!I12)+IF(C92=7,People!J12)+IF(C92=8,People!K12)</f>
        <v>936</v>
      </c>
    </row>
    <row r="93" spans="1:11" ht="12" customHeight="1">
      <c r="A93" s="82"/>
      <c r="B93"/>
      <c r="C93"/>
      <c r="D93"/>
      <c r="E93"/>
      <c r="F93"/>
      <c r="G93" s="65"/>
      <c r="H93" s="66"/>
      <c r="J93" s="69"/>
    </row>
    <row r="94" spans="1:11" ht="12" customHeight="1">
      <c r="B94" s="86"/>
      <c r="C94" s="86" t="s">
        <v>77</v>
      </c>
      <c r="E94" s="90" t="s">
        <v>66</v>
      </c>
      <c r="G94" s="86" t="s">
        <v>78</v>
      </c>
      <c r="J94" s="67"/>
    </row>
    <row r="95" spans="1:11" ht="12" customHeight="1">
      <c r="A95" s="82" t="s">
        <v>79</v>
      </c>
      <c r="B95"/>
      <c r="C95" s="163">
        <v>1</v>
      </c>
      <c r="D95" s="93"/>
      <c r="E95" s="34">
        <v>1</v>
      </c>
      <c r="F95" s="92"/>
      <c r="G95" s="129">
        <v>25.5</v>
      </c>
      <c r="H95" s="95">
        <f>IF(E95=1,People!B3*C95,IF(E95=2,(People!B3+People!B4)*C95,))*B70</f>
        <v>66</v>
      </c>
    </row>
    <row r="96" spans="1:11" ht="12" customHeight="1">
      <c r="A96" s="82"/>
      <c r="B96"/>
      <c r="C96"/>
      <c r="D96" s="62"/>
      <c r="E96"/>
      <c r="F96"/>
      <c r="G96" s="65"/>
      <c r="H96" s="66"/>
    </row>
    <row r="97" spans="1:8" ht="12" customHeight="1">
      <c r="A97" s="82" t="s">
        <v>80</v>
      </c>
      <c r="C97" s="122">
        <v>1</v>
      </c>
      <c r="D97" s="45"/>
      <c r="E97" s="123">
        <v>3</v>
      </c>
      <c r="F97" s="37"/>
      <c r="G97" s="94">
        <v>13</v>
      </c>
      <c r="H97" s="100">
        <f>C97*E97*G97*B70</f>
        <v>78</v>
      </c>
    </row>
    <row r="98" spans="1:8" ht="12" customHeight="1">
      <c r="A98" s="82"/>
      <c r="B98"/>
      <c r="C98"/>
      <c r="D98"/>
      <c r="E98"/>
      <c r="F98"/>
      <c r="G98"/>
      <c r="H98" s="49"/>
    </row>
    <row r="99" spans="1:8" ht="12" customHeight="1">
      <c r="A99" s="82"/>
      <c r="C99" s="86" t="s">
        <v>81</v>
      </c>
      <c r="D99" s="55"/>
      <c r="E99" s="86"/>
      <c r="F99" s="33"/>
      <c r="G99" s="86"/>
      <c r="H99" s="36"/>
    </row>
    <row r="100" spans="1:8" ht="12" customHeight="1">
      <c r="A100" s="82" t="s">
        <v>82</v>
      </c>
      <c r="C100" s="50"/>
      <c r="D100" s="45"/>
      <c r="E100" s="50"/>
      <c r="F100" s="37"/>
      <c r="G100" s="94">
        <v>125</v>
      </c>
      <c r="H100" s="100">
        <f>C100*E100*G100</f>
        <v>0</v>
      </c>
    </row>
    <row r="102" spans="1:8" ht="12" customHeight="1">
      <c r="A102" s="32" t="s">
        <v>18</v>
      </c>
      <c r="B102" s="32"/>
      <c r="C102" s="33"/>
      <c r="D102" s="33"/>
      <c r="E102" s="33"/>
      <c r="F102" s="33"/>
      <c r="G102" s="33"/>
      <c r="H102" s="32" t="s">
        <v>18</v>
      </c>
    </row>
    <row r="103" spans="1:8" ht="12" customHeight="1">
      <c r="A103" s="72" t="s">
        <v>67</v>
      </c>
      <c r="B103" s="46">
        <f>D78+D80+D82+D84+D86+D88+D90+D92+((C95*E95)+(C97*E97))*B70</f>
        <v>68</v>
      </c>
      <c r="C103" s="72" t="s">
        <v>83</v>
      </c>
      <c r="D103" s="73">
        <f>SUM(B78:B95)</f>
        <v>2</v>
      </c>
      <c r="E103" s="57"/>
      <c r="F103" s="57"/>
      <c r="G103" s="58" t="s">
        <v>84</v>
      </c>
      <c r="H103" s="59">
        <f>SUM(H78:H100)</f>
        <v>2016</v>
      </c>
    </row>
    <row r="105" spans="1:8" ht="12" customHeight="1">
      <c r="A105" s="82" t="s">
        <v>85</v>
      </c>
      <c r="G105" s="109"/>
      <c r="H105" s="36"/>
    </row>
    <row r="106" spans="1:8" ht="12" customHeight="1">
      <c r="A106" s="32" t="s">
        <v>18</v>
      </c>
      <c r="B106" s="32"/>
      <c r="C106" s="32"/>
    </row>
    <row r="107" spans="1:8" ht="12" customHeight="1">
      <c r="A107" s="82"/>
      <c r="B107" s="82"/>
      <c r="C107" s="82"/>
      <c r="D107" s="82"/>
      <c r="E107" s="82"/>
      <c r="F107" s="82"/>
      <c r="H107" s="162" t="s">
        <v>23</v>
      </c>
    </row>
    <row r="108" spans="1:8" ht="12" customHeight="1">
      <c r="A108" s="82"/>
      <c r="B108" s="82"/>
      <c r="C108" s="82"/>
      <c r="D108" s="82"/>
      <c r="E108" s="82"/>
      <c r="F108" s="82"/>
    </row>
    <row r="109" spans="1:8" ht="12" customHeight="1">
      <c r="A109" s="82" t="s">
        <v>86</v>
      </c>
      <c r="E109" s="164" t="s">
        <v>23</v>
      </c>
      <c r="F109" s="74">
        <v>0</v>
      </c>
      <c r="H109" s="36">
        <f>F109</f>
        <v>0</v>
      </c>
    </row>
    <row r="111" spans="1:8" ht="12" customHeight="1">
      <c r="A111" s="82" t="s">
        <v>87</v>
      </c>
      <c r="B111" s="75" t="s">
        <v>88</v>
      </c>
      <c r="C111" s="75"/>
      <c r="D111" s="75"/>
      <c r="E111" s="164" t="s">
        <v>23</v>
      </c>
      <c r="F111" s="74">
        <v>0</v>
      </c>
      <c r="H111" s="36">
        <f>F111</f>
        <v>0</v>
      </c>
    </row>
    <row r="113" spans="1:8" ht="12" customHeight="1">
      <c r="A113" s="32"/>
      <c r="B113" s="32"/>
      <c r="C113" s="33"/>
      <c r="D113" s="33"/>
      <c r="E113" s="33"/>
      <c r="F113" s="33"/>
      <c r="G113" s="33"/>
      <c r="H113" s="32" t="s">
        <v>18</v>
      </c>
    </row>
    <row r="114" spans="1:8" ht="12" customHeight="1">
      <c r="B114" s="30"/>
      <c r="C114" s="30"/>
      <c r="D114" s="165"/>
      <c r="E114" s="166"/>
      <c r="F114" s="166"/>
      <c r="G114" s="58" t="s">
        <v>89</v>
      </c>
      <c r="H114" s="167">
        <f>H109+H111</f>
        <v>0</v>
      </c>
    </row>
    <row r="115" spans="1:8" ht="12" customHeight="1">
      <c r="A115" s="32"/>
      <c r="B115" s="32"/>
      <c r="C115" s="33"/>
      <c r="D115" s="33"/>
      <c r="E115" s="33"/>
      <c r="F115" s="33"/>
      <c r="G115" s="33"/>
      <c r="H115" s="32" t="s">
        <v>18</v>
      </c>
    </row>
    <row r="116" spans="1:8" ht="12" customHeight="1">
      <c r="A116" s="6" t="s">
        <v>90</v>
      </c>
      <c r="C116" s="33"/>
      <c r="D116" s="30"/>
      <c r="H116" s="84">
        <f>H72+H103+H114</f>
        <v>3644.8148148148148</v>
      </c>
    </row>
    <row r="118" spans="1:8" ht="12" customHeight="1">
      <c r="A118" s="6" t="s">
        <v>91</v>
      </c>
      <c r="E118" s="109" t="s">
        <v>92</v>
      </c>
      <c r="F118" s="47">
        <v>30</v>
      </c>
      <c r="H118" s="168">
        <f>H116*(F118/100)</f>
        <v>1093.4444444444443</v>
      </c>
    </row>
    <row r="119" spans="1:8" ht="12" customHeight="1">
      <c r="H119" s="76"/>
    </row>
    <row r="120" spans="1:8" ht="12" customHeight="1">
      <c r="A120" s="6" t="s">
        <v>93</v>
      </c>
      <c r="E120" s="109" t="s">
        <v>92</v>
      </c>
      <c r="F120" s="47">
        <v>10</v>
      </c>
      <c r="H120" s="77">
        <f>(H116+H118)*(F120/100)</f>
        <v>473.82592592592596</v>
      </c>
    </row>
    <row r="121" spans="1:8" ht="12" customHeight="1">
      <c r="H121" s="32" t="s">
        <v>18</v>
      </c>
    </row>
    <row r="122" spans="1:8" ht="12" customHeight="1">
      <c r="A122" s="6" t="s">
        <v>94</v>
      </c>
      <c r="F122" s="180"/>
      <c r="H122" s="84">
        <f>SUM(H73+H116+H118+H120)</f>
        <v>5309.8140740740737</v>
      </c>
    </row>
    <row r="123" spans="1:8" ht="12" customHeight="1">
      <c r="A123" s="6" t="s">
        <v>95</v>
      </c>
      <c r="F123" s="180">
        <v>5860</v>
      </c>
      <c r="H123" s="130">
        <f>H122+SUM(F125:F134)</f>
        <v>5859.8140740740737</v>
      </c>
    </row>
    <row r="124" spans="1:8" ht="12" customHeight="1">
      <c r="H124" s="32" t="s">
        <v>18</v>
      </c>
    </row>
    <row r="125" spans="1:8" ht="12" customHeight="1">
      <c r="H125" s="32"/>
    </row>
    <row r="126" spans="1:8" s="78" customFormat="1" ht="12" customHeight="1">
      <c r="A126" s="82" t="s">
        <v>96</v>
      </c>
      <c r="B126" s="16"/>
      <c r="C126" s="16"/>
      <c r="D126" s="16"/>
      <c r="E126" s="16"/>
      <c r="F126" s="85">
        <v>550</v>
      </c>
      <c r="G126" s="16"/>
      <c r="H126" s="32"/>
    </row>
    <row r="127" spans="1:8" ht="12" customHeight="1">
      <c r="A127" s="82" t="s">
        <v>97</v>
      </c>
      <c r="F127" s="80"/>
      <c r="H127" s="32"/>
    </row>
    <row r="128" spans="1:8" ht="12" customHeight="1">
      <c r="A128" s="82" t="s">
        <v>97</v>
      </c>
      <c r="B128" s="78"/>
      <c r="C128" s="78"/>
      <c r="D128" s="78"/>
      <c r="E128" s="78"/>
      <c r="F128" s="79"/>
      <c r="G128" s="78"/>
      <c r="H128" s="78"/>
    </row>
    <row r="129" spans="1:9" ht="12" customHeight="1">
      <c r="A129" s="82" t="s">
        <v>97</v>
      </c>
      <c r="B129" s="82"/>
      <c r="F129" s="80"/>
      <c r="H129" s="32"/>
    </row>
    <row r="130" spans="1:9" ht="12" customHeight="1">
      <c r="A130" s="82" t="s">
        <v>97</v>
      </c>
      <c r="B130" s="82"/>
      <c r="F130" s="80"/>
      <c r="H130" s="32"/>
    </row>
    <row r="131" spans="1:9" s="78" customFormat="1" ht="12" customHeight="1">
      <c r="A131" s="82" t="s">
        <v>97</v>
      </c>
      <c r="B131" s="82"/>
      <c r="C131" s="16"/>
      <c r="D131" s="16"/>
      <c r="E131" s="16"/>
      <c r="F131" s="80"/>
      <c r="G131" s="16"/>
      <c r="H131" s="32"/>
    </row>
    <row r="132" spans="1:9" ht="12" customHeight="1">
      <c r="A132" s="82" t="s">
        <v>97</v>
      </c>
      <c r="B132" s="82"/>
      <c r="F132" s="153"/>
      <c r="H132" s="32"/>
    </row>
    <row r="133" spans="1:9" ht="12" customHeight="1">
      <c r="A133" s="6" t="s">
        <v>97</v>
      </c>
      <c r="B133" s="78"/>
      <c r="C133" s="78"/>
      <c r="D133" s="78"/>
      <c r="E133" s="78"/>
      <c r="F133" s="154"/>
      <c r="G133" s="78"/>
      <c r="H133" s="78"/>
    </row>
    <row r="134" spans="1:9" ht="12" customHeight="1">
      <c r="H134" s="32"/>
    </row>
    <row r="135" spans="1:9" ht="12" customHeight="1">
      <c r="A135" s="169" t="s">
        <v>98</v>
      </c>
      <c r="F135" s="17"/>
      <c r="H135" s="170"/>
    </row>
    <row r="137" spans="1:9" ht="12" customHeight="1">
      <c r="A137" s="14" t="s">
        <v>99</v>
      </c>
      <c r="B137" s="12">
        <f>H123/C12</f>
        <v>2.2221517156139834</v>
      </c>
      <c r="C137" s="13" t="s">
        <v>100</v>
      </c>
      <c r="D137" s="15">
        <f>SUM((G19+G20+G21)/1000)</f>
        <v>0.88148148148148142</v>
      </c>
      <c r="F137" s="17"/>
      <c r="G137" s="18"/>
      <c r="H137" s="170"/>
    </row>
    <row r="143" spans="1:9" ht="12" customHeight="1">
      <c r="I143"/>
    </row>
    <row r="144" spans="1:9" ht="12" customHeight="1">
      <c r="I144"/>
    </row>
    <row r="145" spans="1:9" ht="12" customHeight="1">
      <c r="A145"/>
      <c r="B145"/>
      <c r="C145"/>
      <c r="D145"/>
      <c r="E145"/>
      <c r="F145"/>
      <c r="G145"/>
      <c r="H145"/>
      <c r="I145"/>
    </row>
    <row r="146" spans="1:9" ht="12" customHeight="1">
      <c r="A146"/>
      <c r="B146"/>
      <c r="C146"/>
      <c r="D146"/>
      <c r="E146"/>
      <c r="F146"/>
      <c r="G146"/>
      <c r="H146"/>
      <c r="I146"/>
    </row>
    <row r="147" spans="1:9" ht="12" customHeight="1">
      <c r="A147"/>
      <c r="B147"/>
      <c r="C147"/>
      <c r="D147"/>
      <c r="E147"/>
      <c r="F147"/>
      <c r="G147"/>
      <c r="H147"/>
      <c r="I147"/>
    </row>
    <row r="148" spans="1:9" ht="12" customHeight="1">
      <c r="A148"/>
      <c r="B148"/>
      <c r="C148"/>
      <c r="D148"/>
      <c r="E148"/>
      <c r="F148"/>
      <c r="G148"/>
      <c r="H148"/>
    </row>
    <row r="149" spans="1:9" ht="12" customHeight="1">
      <c r="A149"/>
      <c r="B149"/>
      <c r="C149"/>
      <c r="D149"/>
      <c r="E149"/>
      <c r="F149"/>
      <c r="G149"/>
      <c r="H149"/>
    </row>
  </sheetData>
  <mergeCells count="3">
    <mergeCell ref="G1:H1"/>
    <mergeCell ref="G2:H2"/>
    <mergeCell ref="G3:H3"/>
  </mergeCells>
  <phoneticPr fontId="5" type="noConversion"/>
  <printOptions gridLinesSet="0"/>
  <pageMargins left="0.25" right="0.25" top="0.75" bottom="0.75" header="0.3" footer="0.3"/>
  <pageSetup fitToWidth="0" fitToHeight="0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opLeftCell="A2" workbookViewId="0">
      <selection activeCell="C3" sqref="C3:C10"/>
    </sheetView>
  </sheetViews>
  <sheetFormatPr defaultRowHeight="12.75"/>
  <cols>
    <col min="1" max="1" width="24.42578125" customWidth="1"/>
    <col min="5" max="5" width="9.7109375" customWidth="1"/>
  </cols>
  <sheetData>
    <row r="1" spans="1:13">
      <c r="E1" s="182" t="s">
        <v>101</v>
      </c>
      <c r="F1" s="183"/>
      <c r="G1" s="183"/>
      <c r="H1" s="183"/>
      <c r="I1" s="183"/>
      <c r="J1" s="183"/>
      <c r="K1" s="184"/>
    </row>
    <row r="2" spans="1:13" s="1" customFormat="1" ht="25.5">
      <c r="A2" s="171" t="s">
        <v>102</v>
      </c>
      <c r="B2" s="172" t="s">
        <v>103</v>
      </c>
      <c r="C2" s="172" t="s">
        <v>104</v>
      </c>
      <c r="D2" s="172">
        <v>1</v>
      </c>
      <c r="E2" s="172">
        <v>2</v>
      </c>
      <c r="F2" s="172">
        <v>3</v>
      </c>
      <c r="G2" s="172">
        <v>4</v>
      </c>
      <c r="H2" s="172">
        <v>5</v>
      </c>
      <c r="I2" s="172">
        <v>6</v>
      </c>
      <c r="J2" s="172">
        <v>7</v>
      </c>
      <c r="K2" s="172">
        <v>8</v>
      </c>
      <c r="L2" s="173"/>
      <c r="M2" s="173"/>
    </row>
    <row r="3" spans="1:13">
      <c r="A3" s="2" t="s">
        <v>105</v>
      </c>
      <c r="B3" s="10">
        <v>33</v>
      </c>
      <c r="C3" s="11">
        <v>1.2</v>
      </c>
      <c r="D3" s="91">
        <f>B3*C3</f>
        <v>39.6</v>
      </c>
      <c r="E3" s="8">
        <f>B3*C3</f>
        <v>39.6</v>
      </c>
      <c r="F3" s="8">
        <f>B3*C3</f>
        <v>39.6</v>
      </c>
      <c r="G3" s="8">
        <f>B3*C3</f>
        <v>39.6</v>
      </c>
      <c r="H3" s="8">
        <f>B3*C3</f>
        <v>39.6</v>
      </c>
      <c r="I3" s="8">
        <f t="shared" ref="I3:I8" si="0">B3*C3</f>
        <v>39.6</v>
      </c>
      <c r="J3" s="8">
        <f t="shared" ref="J3:J9" si="1">B3*C3</f>
        <v>39.6</v>
      </c>
      <c r="K3" s="8">
        <f t="shared" ref="K3:K10" si="2">B3*C3</f>
        <v>39.6</v>
      </c>
      <c r="L3" s="4"/>
      <c r="M3" s="88"/>
    </row>
    <row r="4" spans="1:13">
      <c r="A4" s="2" t="s">
        <v>106</v>
      </c>
      <c r="B4" s="10">
        <v>23.5</v>
      </c>
      <c r="C4" s="11">
        <v>1.2</v>
      </c>
      <c r="D4" s="9"/>
      <c r="E4" s="8">
        <f>B4*C4</f>
        <v>28.2</v>
      </c>
      <c r="F4" s="8">
        <f>B4*C4</f>
        <v>28.2</v>
      </c>
      <c r="G4" s="8">
        <f>B4*C4</f>
        <v>28.2</v>
      </c>
      <c r="H4" s="8">
        <f>B4*C4</f>
        <v>28.2</v>
      </c>
      <c r="I4" s="8">
        <f t="shared" si="0"/>
        <v>28.2</v>
      </c>
      <c r="J4" s="8">
        <f t="shared" si="1"/>
        <v>28.2</v>
      </c>
      <c r="K4" s="8">
        <f t="shared" si="2"/>
        <v>28.2</v>
      </c>
    </row>
    <row r="5" spans="1:13">
      <c r="A5" s="2" t="s">
        <v>107</v>
      </c>
      <c r="B5" s="10">
        <v>21.5</v>
      </c>
      <c r="C5" s="11">
        <v>1.2</v>
      </c>
      <c r="D5" s="9"/>
      <c r="E5" s="9"/>
      <c r="F5" s="8">
        <f>B5*C5</f>
        <v>25.8</v>
      </c>
      <c r="G5" s="8">
        <f>B5*C5</f>
        <v>25.8</v>
      </c>
      <c r="H5" s="8">
        <f>B5*C5</f>
        <v>25.8</v>
      </c>
      <c r="I5" s="8">
        <f t="shared" si="0"/>
        <v>25.8</v>
      </c>
      <c r="J5" s="8">
        <f t="shared" si="1"/>
        <v>25.8</v>
      </c>
      <c r="K5" s="8">
        <f t="shared" si="2"/>
        <v>25.8</v>
      </c>
    </row>
    <row r="6" spans="1:13">
      <c r="A6" s="2" t="s">
        <v>108</v>
      </c>
      <c r="B6" s="10">
        <v>21</v>
      </c>
      <c r="C6" s="11">
        <v>1.2</v>
      </c>
      <c r="D6" s="9"/>
      <c r="E6" s="9"/>
      <c r="F6" s="9"/>
      <c r="G6" s="8">
        <f>B6*C6</f>
        <v>25.2</v>
      </c>
      <c r="H6" s="8">
        <f>B6*C6</f>
        <v>25.2</v>
      </c>
      <c r="I6" s="8">
        <f t="shared" si="0"/>
        <v>25.2</v>
      </c>
      <c r="J6" s="8">
        <f t="shared" si="1"/>
        <v>25.2</v>
      </c>
      <c r="K6" s="8">
        <f t="shared" si="2"/>
        <v>25.2</v>
      </c>
    </row>
    <row r="7" spans="1:13">
      <c r="A7" s="2" t="s">
        <v>109</v>
      </c>
      <c r="B7" s="10">
        <v>20</v>
      </c>
      <c r="C7" s="11">
        <v>1.2</v>
      </c>
      <c r="D7" s="9"/>
      <c r="E7" s="9"/>
      <c r="F7" s="9"/>
      <c r="G7" s="9"/>
      <c r="H7" s="8">
        <f>B7*C7</f>
        <v>24</v>
      </c>
      <c r="I7" s="8">
        <f t="shared" si="0"/>
        <v>24</v>
      </c>
      <c r="J7" s="8">
        <f t="shared" si="1"/>
        <v>24</v>
      </c>
      <c r="K7" s="8">
        <f t="shared" si="2"/>
        <v>24</v>
      </c>
    </row>
    <row r="8" spans="1:13">
      <c r="A8" s="2" t="s">
        <v>109</v>
      </c>
      <c r="B8" s="10">
        <v>20</v>
      </c>
      <c r="C8" s="11">
        <v>1.2</v>
      </c>
      <c r="D8" s="9"/>
      <c r="E8" s="9"/>
      <c r="F8" s="9"/>
      <c r="G8" s="9"/>
      <c r="H8" s="9"/>
      <c r="I8" s="8">
        <f t="shared" si="0"/>
        <v>24</v>
      </c>
      <c r="J8" s="8">
        <f t="shared" si="1"/>
        <v>24</v>
      </c>
      <c r="K8" s="8">
        <f t="shared" si="2"/>
        <v>24</v>
      </c>
    </row>
    <row r="9" spans="1:13">
      <c r="A9" s="2" t="s">
        <v>109</v>
      </c>
      <c r="B9" s="10">
        <v>18</v>
      </c>
      <c r="C9" s="11">
        <v>1.2</v>
      </c>
      <c r="D9" s="9"/>
      <c r="E9" s="9"/>
      <c r="F9" s="9"/>
      <c r="G9" s="9"/>
      <c r="H9" s="9"/>
      <c r="I9" s="9"/>
      <c r="J9" s="8">
        <f t="shared" si="1"/>
        <v>21.599999999999998</v>
      </c>
      <c r="K9" s="8">
        <f t="shared" si="2"/>
        <v>21.599999999999998</v>
      </c>
    </row>
    <row r="10" spans="1:13">
      <c r="A10" s="2" t="s">
        <v>109</v>
      </c>
      <c r="B10" s="10">
        <v>18</v>
      </c>
      <c r="C10" s="11">
        <v>1.2</v>
      </c>
      <c r="D10" s="9"/>
      <c r="E10" s="9"/>
      <c r="F10" s="9"/>
      <c r="G10" s="9"/>
      <c r="H10" s="9"/>
      <c r="I10" s="9"/>
      <c r="J10" s="9"/>
      <c r="K10" s="8">
        <f t="shared" si="2"/>
        <v>21.599999999999998</v>
      </c>
    </row>
    <row r="11" spans="1:13">
      <c r="A11" s="7" t="s">
        <v>110</v>
      </c>
      <c r="B11" s="11">
        <v>10</v>
      </c>
      <c r="C11" s="9"/>
      <c r="D11" s="9"/>
      <c r="E11" s="9"/>
      <c r="F11" s="9"/>
      <c r="G11" s="9"/>
      <c r="H11" s="9"/>
      <c r="I11" s="9"/>
      <c r="J11" s="9"/>
      <c r="K11" s="9"/>
    </row>
    <row r="12" spans="1:13" s="3" customFormat="1">
      <c r="A12" s="174" t="s">
        <v>111</v>
      </c>
      <c r="B12" s="175"/>
      <c r="C12" s="175"/>
      <c r="D12" s="176">
        <f>SUM(D3:D10)*B11</f>
        <v>396</v>
      </c>
      <c r="E12" s="176">
        <f>SUM(E3:E10)*B11</f>
        <v>678</v>
      </c>
      <c r="F12" s="176">
        <f>SUM(F3:F10)*B11</f>
        <v>936</v>
      </c>
      <c r="G12" s="176">
        <f>SUM(G3:G10)*B11</f>
        <v>1188</v>
      </c>
      <c r="H12" s="176">
        <f>SUM(H3:H10)*B11</f>
        <v>1428</v>
      </c>
      <c r="I12" s="176">
        <f>SUM(I3:I10)*B11</f>
        <v>1668</v>
      </c>
      <c r="J12" s="176">
        <f>SUM(J3:J10)*B11</f>
        <v>1884</v>
      </c>
      <c r="K12" s="176">
        <f>SUM(K3:K10)*B11</f>
        <v>2100</v>
      </c>
      <c r="L12" s="177"/>
      <c r="M12" s="177"/>
    </row>
    <row r="14" spans="1:13">
      <c r="A14" s="87"/>
    </row>
    <row r="15" spans="1:13">
      <c r="A15" s="87" t="s">
        <v>112</v>
      </c>
      <c r="B15" s="89" t="s">
        <v>113</v>
      </c>
      <c r="C15" s="89" t="s">
        <v>114</v>
      </c>
      <c r="D15" s="89"/>
    </row>
    <row r="16" spans="1:13">
      <c r="A16" t="s">
        <v>115</v>
      </c>
      <c r="B16" s="159">
        <v>33</v>
      </c>
      <c r="C16" s="4">
        <v>20</v>
      </c>
      <c r="D16" s="4"/>
    </row>
    <row r="17" spans="1:4">
      <c r="A17" t="s">
        <v>116</v>
      </c>
      <c r="B17" s="159">
        <v>28</v>
      </c>
      <c r="C17" s="4">
        <v>20</v>
      </c>
      <c r="D17" s="4"/>
    </row>
    <row r="18" spans="1:4">
      <c r="A18" t="s">
        <v>117</v>
      </c>
      <c r="B18" s="81">
        <v>28</v>
      </c>
      <c r="C18" s="4">
        <v>20</v>
      </c>
      <c r="D18" s="4"/>
    </row>
    <row r="19" spans="1:4">
      <c r="A19" t="s">
        <v>118</v>
      </c>
      <c r="B19" s="81">
        <v>25</v>
      </c>
      <c r="C19" s="4">
        <v>10</v>
      </c>
      <c r="D19" s="4"/>
    </row>
    <row r="20" spans="1:4">
      <c r="D20" s="4"/>
    </row>
    <row r="21" spans="1:4">
      <c r="A21" s="87" t="s">
        <v>119</v>
      </c>
      <c r="B21" s="89" t="s">
        <v>113</v>
      </c>
      <c r="C21" s="89" t="s">
        <v>114</v>
      </c>
      <c r="D21" s="4"/>
    </row>
    <row r="22" spans="1:4">
      <c r="A22" t="s">
        <v>120</v>
      </c>
      <c r="B22" s="81">
        <v>28</v>
      </c>
      <c r="C22" s="4">
        <v>10</v>
      </c>
      <c r="D22" s="4"/>
    </row>
    <row r="23" spans="1:4">
      <c r="A23" t="s">
        <v>121</v>
      </c>
      <c r="B23" s="81">
        <v>25</v>
      </c>
      <c r="C23" s="4">
        <v>20</v>
      </c>
      <c r="D23" s="4"/>
    </row>
    <row r="24" spans="1:4" ht="15">
      <c r="A24" s="161" t="s">
        <v>122</v>
      </c>
      <c r="B24" s="81">
        <v>25</v>
      </c>
      <c r="C24" s="4">
        <v>12.5</v>
      </c>
      <c r="D24" s="4"/>
    </row>
    <row r="25" spans="1:4" ht="15">
      <c r="A25" s="161" t="s">
        <v>123</v>
      </c>
      <c r="B25" s="81">
        <v>23.5</v>
      </c>
      <c r="C25" s="4">
        <v>11.75</v>
      </c>
      <c r="D25" s="4"/>
    </row>
    <row r="26" spans="1:4" ht="15">
      <c r="A26" s="161" t="s">
        <v>124</v>
      </c>
      <c r="B26" s="81">
        <v>23</v>
      </c>
      <c r="C26" s="4">
        <v>10</v>
      </c>
      <c r="D26" s="4"/>
    </row>
    <row r="27" spans="1:4" ht="15">
      <c r="A27" s="161" t="s">
        <v>125</v>
      </c>
      <c r="B27" s="81">
        <v>23</v>
      </c>
      <c r="C27" s="4">
        <v>10</v>
      </c>
      <c r="D27" s="4"/>
    </row>
    <row r="28" spans="1:4" ht="15">
      <c r="A28" s="161" t="s">
        <v>126</v>
      </c>
      <c r="B28" s="81">
        <v>21</v>
      </c>
      <c r="C28" s="4">
        <v>8.75</v>
      </c>
    </row>
    <row r="29" spans="1:4" ht="15">
      <c r="A29" s="161" t="s">
        <v>127</v>
      </c>
      <c r="B29" s="81">
        <v>20</v>
      </c>
      <c r="C29" s="4">
        <v>8</v>
      </c>
    </row>
    <row r="30" spans="1:4" ht="15">
      <c r="A30" s="161" t="s">
        <v>128</v>
      </c>
      <c r="B30" s="81">
        <v>20</v>
      </c>
      <c r="C30" s="4">
        <v>10</v>
      </c>
    </row>
    <row r="31" spans="1:4" ht="15">
      <c r="A31" s="161" t="s">
        <v>129</v>
      </c>
      <c r="B31" s="81">
        <v>20</v>
      </c>
      <c r="C31" s="4">
        <v>7.25</v>
      </c>
    </row>
    <row r="32" spans="1:4" ht="15">
      <c r="A32" s="161" t="s">
        <v>130</v>
      </c>
      <c r="B32" s="81">
        <v>19.5</v>
      </c>
      <c r="C32" s="4">
        <v>8</v>
      </c>
    </row>
    <row r="33" spans="1:3" ht="15">
      <c r="A33" s="161" t="s">
        <v>131</v>
      </c>
      <c r="B33" s="81">
        <v>19</v>
      </c>
      <c r="C33" s="4">
        <v>7.25</v>
      </c>
    </row>
    <row r="34" spans="1:3" ht="15">
      <c r="A34" s="161" t="s">
        <v>132</v>
      </c>
      <c r="B34" s="81">
        <v>18.5</v>
      </c>
      <c r="C34" s="4">
        <v>8</v>
      </c>
    </row>
    <row r="35" spans="1:3" ht="15">
      <c r="A35" s="161"/>
      <c r="B35" s="81"/>
      <c r="C35" s="4"/>
    </row>
    <row r="36" spans="1:3" ht="15">
      <c r="A36" s="161"/>
      <c r="B36" s="81"/>
      <c r="C36" s="4"/>
    </row>
    <row r="37" spans="1:3">
      <c r="A37" s="87" t="s">
        <v>133</v>
      </c>
      <c r="B37" s="89" t="s">
        <v>113</v>
      </c>
      <c r="C37" s="89" t="s">
        <v>114</v>
      </c>
    </row>
    <row r="38" spans="1:3" ht="15">
      <c r="A38" s="161" t="s">
        <v>134</v>
      </c>
      <c r="B38" s="81">
        <v>19</v>
      </c>
      <c r="C38" s="4">
        <v>7.25</v>
      </c>
    </row>
    <row r="39" spans="1:3" ht="15">
      <c r="A39" s="161" t="s">
        <v>135</v>
      </c>
      <c r="B39" s="81">
        <v>18</v>
      </c>
      <c r="C39" s="4">
        <v>7.25</v>
      </c>
    </row>
    <row r="40" spans="1:3" ht="15">
      <c r="A40" s="161" t="s">
        <v>136</v>
      </c>
      <c r="B40" s="81">
        <v>18</v>
      </c>
      <c r="C40" s="4">
        <v>7.25</v>
      </c>
    </row>
    <row r="41" spans="1:3" ht="15">
      <c r="A41" s="161" t="s">
        <v>137</v>
      </c>
      <c r="B41" s="81">
        <v>18</v>
      </c>
      <c r="C41" s="4">
        <v>7.25</v>
      </c>
    </row>
    <row r="42" spans="1:3" ht="15">
      <c r="A42" s="161" t="s">
        <v>138</v>
      </c>
      <c r="B42" s="81">
        <v>17</v>
      </c>
      <c r="C42" s="4">
        <v>7.25</v>
      </c>
    </row>
    <row r="43" spans="1:3" ht="15">
      <c r="A43" s="161" t="s">
        <v>139</v>
      </c>
      <c r="B43" s="81">
        <v>17</v>
      </c>
      <c r="C43" s="4">
        <v>7.25</v>
      </c>
    </row>
  </sheetData>
  <mergeCells count="1">
    <mergeCell ref="E1:K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C15" sqref="C15"/>
    </sheetView>
  </sheetViews>
  <sheetFormatPr defaultRowHeight="12.75"/>
  <cols>
    <col min="1" max="1" width="15" customWidth="1"/>
    <col min="2" max="2" width="11.28515625" customWidth="1"/>
    <col min="3" max="3" width="12" style="4" customWidth="1"/>
    <col min="4" max="4" width="11.28515625" customWidth="1"/>
  </cols>
  <sheetData>
    <row r="1" spans="1:5" s="5" customFormat="1">
      <c r="A1" s="90" t="s">
        <v>140</v>
      </c>
      <c r="B1" s="90"/>
      <c r="C1" s="97" t="s">
        <v>141</v>
      </c>
      <c r="D1" s="90" t="s">
        <v>142</v>
      </c>
      <c r="E1" s="90" t="s">
        <v>143</v>
      </c>
    </row>
    <row r="2" spans="1:5">
      <c r="A2" t="s">
        <v>144</v>
      </c>
      <c r="C2" s="4">
        <v>190</v>
      </c>
      <c r="D2">
        <v>55</v>
      </c>
      <c r="E2" s="4">
        <f>C2/D2</f>
        <v>3.4545454545454546</v>
      </c>
    </row>
    <row r="3" spans="1:5">
      <c r="A3" t="s">
        <v>145</v>
      </c>
      <c r="C3" s="4">
        <v>260</v>
      </c>
      <c r="D3">
        <v>55</v>
      </c>
      <c r="E3" s="4">
        <f>C3/D3</f>
        <v>4.7272727272727275</v>
      </c>
    </row>
    <row r="5" spans="1:5">
      <c r="A5" s="90" t="s">
        <v>146</v>
      </c>
      <c r="B5" s="90" t="s">
        <v>147</v>
      </c>
      <c r="C5" s="97" t="s">
        <v>141</v>
      </c>
      <c r="D5" s="90" t="s">
        <v>142</v>
      </c>
    </row>
    <row r="6" spans="1:5">
      <c r="A6" s="88"/>
      <c r="B6" s="88" t="s">
        <v>148</v>
      </c>
      <c r="C6" s="101">
        <v>27</v>
      </c>
      <c r="D6">
        <v>300</v>
      </c>
    </row>
    <row r="7" spans="1:5">
      <c r="A7" s="96"/>
      <c r="B7" s="88" t="s">
        <v>149</v>
      </c>
      <c r="C7" s="98">
        <v>37</v>
      </c>
      <c r="D7">
        <v>300</v>
      </c>
    </row>
    <row r="8" spans="1:5">
      <c r="A8" s="96"/>
      <c r="B8" s="88" t="s">
        <v>150</v>
      </c>
      <c r="C8" s="98">
        <v>44</v>
      </c>
      <c r="D8">
        <v>300</v>
      </c>
    </row>
    <row r="9" spans="1:5">
      <c r="A9" s="96"/>
      <c r="B9" s="88" t="s">
        <v>151</v>
      </c>
      <c r="C9" s="101">
        <v>54</v>
      </c>
      <c r="D9">
        <v>300</v>
      </c>
    </row>
    <row r="10" spans="1:5">
      <c r="A10" s="96"/>
      <c r="B10" s="88" t="s">
        <v>152</v>
      </c>
      <c r="C10" s="101">
        <v>80</v>
      </c>
      <c r="D10">
        <v>300</v>
      </c>
    </row>
    <row r="11" spans="1:5">
      <c r="A11" s="96"/>
      <c r="B11" s="88" t="s">
        <v>153</v>
      </c>
      <c r="C11" s="98">
        <v>120</v>
      </c>
      <c r="D11">
        <v>300</v>
      </c>
    </row>
    <row r="12" spans="1:5">
      <c r="A12" s="96"/>
      <c r="B12" s="88" t="s">
        <v>154</v>
      </c>
      <c r="C12" s="98">
        <v>150</v>
      </c>
      <c r="D12">
        <v>300</v>
      </c>
    </row>
    <row r="14" spans="1:5" s="5" customFormat="1">
      <c r="A14" s="90" t="s">
        <v>31</v>
      </c>
      <c r="B14" s="90" t="s">
        <v>29</v>
      </c>
      <c r="C14" s="97" t="s">
        <v>141</v>
      </c>
      <c r="D14" s="90" t="s">
        <v>142</v>
      </c>
      <c r="E14" s="90"/>
    </row>
    <row r="15" spans="1:5">
      <c r="B15" s="88" t="s">
        <v>149</v>
      </c>
      <c r="C15" s="4">
        <v>22</v>
      </c>
      <c r="D15">
        <v>75</v>
      </c>
    </row>
    <row r="16" spans="1:5">
      <c r="B16" s="88" t="s">
        <v>151</v>
      </c>
      <c r="C16" s="4">
        <v>42</v>
      </c>
      <c r="D16">
        <v>75</v>
      </c>
    </row>
    <row r="17" spans="1:4">
      <c r="A17" s="88"/>
      <c r="B17" s="88" t="s">
        <v>152</v>
      </c>
      <c r="C17" s="4">
        <v>62</v>
      </c>
      <c r="D17">
        <v>75</v>
      </c>
    </row>
    <row r="18" spans="1:4">
      <c r="B18" s="88" t="s">
        <v>155</v>
      </c>
      <c r="C18" s="4">
        <v>124</v>
      </c>
      <c r="D18">
        <v>75</v>
      </c>
    </row>
    <row r="19" spans="1:4">
      <c r="C19"/>
    </row>
    <row r="20" spans="1:4">
      <c r="C20"/>
    </row>
    <row r="21" spans="1:4">
      <c r="A21" s="88"/>
      <c r="B21" s="88"/>
      <c r="C21"/>
    </row>
    <row r="22" spans="1:4">
      <c r="A22" s="88"/>
      <c r="B22" s="88"/>
    </row>
    <row r="24" spans="1:4" s="5" customFormat="1">
      <c r="A24" s="90"/>
      <c r="B24" s="90"/>
      <c r="C24" s="97"/>
      <c r="D24" s="90"/>
    </row>
    <row r="30" spans="1:4" s="5" customFormat="1">
      <c r="A30" s="90"/>
      <c r="B30" s="178"/>
      <c r="C30" s="179"/>
      <c r="D30" s="178"/>
    </row>
    <row r="32" spans="1:4">
      <c r="B32" s="92"/>
    </row>
    <row r="34" spans="1:1">
      <c r="A34" s="96"/>
    </row>
    <row r="35" spans="1:1">
      <c r="A35" s="88"/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5"/>
  <sheetViews>
    <sheetView workbookViewId="0">
      <selection activeCell="F15" sqref="F15"/>
    </sheetView>
  </sheetViews>
  <sheetFormatPr defaultRowHeight="12.75"/>
  <sheetData>
    <row r="2" spans="2:6">
      <c r="B2" s="110" t="s">
        <v>156</v>
      </c>
      <c r="C2" s="111" t="s">
        <v>157</v>
      </c>
      <c r="D2" s="112" t="s">
        <v>147</v>
      </c>
      <c r="E2" s="112" t="s">
        <v>158</v>
      </c>
    </row>
    <row r="3" spans="2:6">
      <c r="B3" s="113"/>
      <c r="C3" s="114"/>
      <c r="D3" s="115"/>
      <c r="E3" s="116"/>
    </row>
    <row r="4" spans="2:6">
      <c r="B4" s="7" t="s">
        <v>159</v>
      </c>
      <c r="C4" s="117"/>
      <c r="D4" s="118"/>
      <c r="E4" s="119">
        <f>C4*D4</f>
        <v>0</v>
      </c>
    </row>
    <row r="5" spans="2:6">
      <c r="B5" s="7"/>
      <c r="C5" s="117"/>
      <c r="D5" s="120"/>
      <c r="E5" s="119">
        <f t="shared" ref="E5:E15" si="0">C5*D5</f>
        <v>0</v>
      </c>
    </row>
    <row r="6" spans="2:6">
      <c r="B6" s="7"/>
      <c r="C6" s="117"/>
      <c r="D6" s="120"/>
      <c r="E6" s="119">
        <f t="shared" si="0"/>
        <v>0</v>
      </c>
    </row>
    <row r="7" spans="2:6">
      <c r="B7" s="7"/>
      <c r="C7" s="117"/>
      <c r="D7" s="120"/>
      <c r="E7" s="119">
        <f t="shared" si="0"/>
        <v>0</v>
      </c>
    </row>
    <row r="8" spans="2:6">
      <c r="B8" s="7"/>
      <c r="C8" s="117"/>
      <c r="D8" s="120"/>
      <c r="E8" s="119">
        <f t="shared" si="0"/>
        <v>0</v>
      </c>
    </row>
    <row r="9" spans="2:6">
      <c r="B9" s="121" t="s">
        <v>160</v>
      </c>
      <c r="C9" s="117"/>
      <c r="D9" s="120"/>
      <c r="E9" s="119">
        <f t="shared" si="0"/>
        <v>0</v>
      </c>
    </row>
    <row r="10" spans="2:6">
      <c r="B10" s="7"/>
      <c r="C10" s="117"/>
      <c r="D10" s="120"/>
      <c r="E10" s="119">
        <f t="shared" si="0"/>
        <v>0</v>
      </c>
    </row>
    <row r="11" spans="2:6">
      <c r="B11" s="7"/>
      <c r="C11" s="117"/>
      <c r="D11" s="120"/>
      <c r="E11" s="119">
        <f t="shared" si="0"/>
        <v>0</v>
      </c>
    </row>
    <row r="12" spans="2:6">
      <c r="B12" s="121"/>
      <c r="C12" s="117"/>
      <c r="D12" s="120"/>
      <c r="E12" s="119">
        <f t="shared" si="0"/>
        <v>0</v>
      </c>
    </row>
    <row r="13" spans="2:6">
      <c r="B13" s="121" t="s">
        <v>161</v>
      </c>
      <c r="C13" s="117"/>
      <c r="D13" s="120"/>
      <c r="E13" s="119">
        <f>(C13/2)*D13</f>
        <v>0</v>
      </c>
    </row>
    <row r="14" spans="2:6">
      <c r="B14" s="7"/>
      <c r="C14" s="117"/>
      <c r="D14" s="120"/>
      <c r="E14" s="119">
        <f>(C14/2)*D14</f>
        <v>0</v>
      </c>
    </row>
    <row r="15" spans="2:6">
      <c r="B15" s="7"/>
      <c r="C15" s="117"/>
      <c r="D15" s="120"/>
      <c r="E15" s="119">
        <f t="shared" si="0"/>
        <v>0</v>
      </c>
      <c r="F15" s="108">
        <f>SUM(E4:E15)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B1" sqref="B1"/>
    </sheetView>
  </sheetViews>
  <sheetFormatPr defaultRowHeight="12.75"/>
  <cols>
    <col min="1" max="4" width="15.7109375" customWidth="1"/>
  </cols>
  <sheetData>
    <row r="1" spans="1:4">
      <c r="A1" s="90" t="s">
        <v>162</v>
      </c>
      <c r="B1" s="10"/>
    </row>
    <row r="3" spans="1:4">
      <c r="B3" s="8">
        <f>IF(B1&lt;=100000,B1*0.0225,"")</f>
        <v>0</v>
      </c>
      <c r="C3" s="8" t="str">
        <f>IF(AND(B1&lt;=500000,B1&gt;100000), ((B1-100000)*0.015)+2250,"")</f>
        <v/>
      </c>
      <c r="D3" s="8" t="str">
        <f>IF(AND(B1&lt;=2500000,B1&gt;500000), ((B1-500000)*0.0105)+8250,"")</f>
        <v/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5eb4e53-0b43-4e28-991f-5aee810537ea" xsi:nil="true"/>
    <IconOverlay xmlns="http://schemas.microsoft.com/sharepoint/v4" xsi:nil="true"/>
    <TaxCatchAll xmlns="4b82818a-8f70-42ae-9188-0d4dcde29678" xsi:nil="true"/>
    <lcf76f155ced4ddcb4097134ff3c332f xmlns="75eb4e53-0b43-4e28-991f-5aee810537ea">
      <Terms xmlns="http://schemas.microsoft.com/office/infopath/2007/PartnerControls"/>
    </lcf76f155ced4ddcb4097134ff3c332f>
    <_dlc_DocId xmlns="4b82818a-8f70-42ae-9188-0d4dcde29678">NJ25XDCPTP67-167323429-1074540</_dlc_DocId>
    <_dlc_DocIdUrl xmlns="4b82818a-8f70-42ae-9188-0d4dcde29678">
      <Url>https://aro365531128.sharepoint.com/sites/Data/_layouts/15/DocIdRedir.aspx?ID=NJ25XDCPTP67-167323429-1074540</Url>
      <Description>NJ25XDCPTP67-167323429-1074540</Description>
    </_dlc_DocIdUrl>
    <FolderCreatedDate xmlns="75eb4e53-0b43-4e28-991f-5aee810537ea" xsi:nil="true"/>
    <ClosedLostReason xmlns="75eb4e53-0b43-4e28-991f-5aee810537ea" xsi:nil="true"/>
    <LeadStatus xmlns="75eb4e53-0b43-4e28-991f-5aee810537ea" xsi:nil="true"/>
    <SourceofLead xmlns="75eb4e53-0b43-4e28-991f-5aee810537ea" xsi:nil="true"/>
    <DollarValue xmlns="75eb4e53-0b43-4e28-991f-5aee810537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48B5F9CDFEC4283105E2A17FECE0B" ma:contentTypeVersion="1796" ma:contentTypeDescription="Create a new document." ma:contentTypeScope="" ma:versionID="b05b4c246bda5ce640b97ab58164c8be">
  <xsd:schema xmlns:xsd="http://www.w3.org/2001/XMLSchema" xmlns:xs="http://www.w3.org/2001/XMLSchema" xmlns:p="http://schemas.microsoft.com/office/2006/metadata/properties" xmlns:ns2="4b82818a-8f70-42ae-9188-0d4dcde29678" xmlns:ns3="75eb4e53-0b43-4e28-991f-5aee810537ea" xmlns:ns4="http://schemas.microsoft.com/sharepoint/v4" targetNamespace="http://schemas.microsoft.com/office/2006/metadata/properties" ma:root="true" ma:fieldsID="1466c2fa712e33e949eb0684358570b2" ns2:_="" ns3:_="" ns4:_="">
    <xsd:import namespace="4b82818a-8f70-42ae-9188-0d4dcde29678"/>
    <xsd:import namespace="75eb4e53-0b43-4e28-991f-5aee810537e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4:IconOverlay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LeadStatus" minOccurs="0"/>
                <xsd:element ref="ns3:DollarValue" minOccurs="0"/>
                <xsd:element ref="ns3:ClosedLostReason" minOccurs="0"/>
                <xsd:element ref="ns3:SourceofLead" minOccurs="0"/>
                <xsd:element ref="ns3:FolderCreatedDat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2818a-8f70-42ae-9188-0d4dcde2967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02ae7828-dbf5-455c-a7a0-107ee2c25e36}" ma:internalName="TaxCatchAll" ma:showField="CatchAllData" ma:web="4b82818a-8f70-42ae-9188-0d4dcde29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4e53-0b43-4e28-991f-5aee810537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Deal Owner" ma:format="Dropdown" ma:internalName="Sign_x002d_off_x0020_status">
      <xsd:simpleType>
        <xsd:restriction base="dms:Choice">
          <xsd:enumeration value="Aaron"/>
          <xsd:enumeration value="Anthony"/>
          <xsd:enumeration value="Randy"/>
          <xsd:enumeration value="Roger"/>
          <xsd:enumeration value="Quin"/>
          <xsd:enumeration value="Repairs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bd9c94f7-4397-4ff7-b347-57b23b5775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eadStatus" ma:index="31" nillable="true" ma:displayName="Lead Status" ma:format="Dropdown" ma:internalName="LeadStatus">
      <xsd:simpleType>
        <xsd:restriction base="dms:Choice">
          <xsd:enumeration value="COLD "/>
          <xsd:enumeration value="WARM"/>
          <xsd:enumeration value="HOT"/>
        </xsd:restriction>
      </xsd:simpleType>
    </xsd:element>
    <xsd:element name="DollarValue" ma:index="32" nillable="true" ma:displayName="Dollar Value" ma:format="Dropdown" ma:internalName="DollarValue" ma:percentage="FALSE">
      <xsd:simpleType>
        <xsd:restriction base="dms:Number"/>
      </xsd:simpleType>
    </xsd:element>
    <xsd:element name="ClosedLostReason" ma:index="33" nillable="true" ma:displayName="Closed Lost Reason" ma:format="Dropdown" ma:internalName="ClosedLostReason">
      <xsd:simpleType>
        <xsd:restriction base="dms:Text">
          <xsd:maxLength value="255"/>
        </xsd:restriction>
      </xsd:simpleType>
    </xsd:element>
    <xsd:element name="SourceofLead" ma:index="34" nillable="true" ma:displayName="Source of Lead " ma:format="Dropdown" ma:internalName="SourceofLead">
      <xsd:simpleType>
        <xsd:restriction base="dms:Text">
          <xsd:maxLength value="255"/>
        </xsd:restriction>
      </xsd:simpleType>
    </xsd:element>
    <xsd:element name="FolderCreatedDate" ma:index="35" nillable="true" ma:displayName="Folder Created Date" ma:format="DateOnly" ma:internalName="FolderCreatedDate">
      <xsd:simpleType>
        <xsd:restriction base="dms:DateTim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B2ECFD-7F9B-4035-8EA1-46CB5D57ED26}"/>
</file>

<file path=customXml/itemProps2.xml><?xml version="1.0" encoding="utf-8"?>
<ds:datastoreItem xmlns:ds="http://schemas.openxmlformats.org/officeDocument/2006/customXml" ds:itemID="{BC847161-FD4D-450D-B9D2-998722E49FFA}"/>
</file>

<file path=customXml/itemProps3.xml><?xml version="1.0" encoding="utf-8"?>
<ds:datastoreItem xmlns:ds="http://schemas.openxmlformats.org/officeDocument/2006/customXml" ds:itemID="{100CA1B1-426A-44D4-93DE-B50E28F3DEC9}"/>
</file>

<file path=customXml/itemProps4.xml><?xml version="1.0" encoding="utf-8"?>
<ds:datastoreItem xmlns:ds="http://schemas.openxmlformats.org/officeDocument/2006/customXml" ds:itemID="{3BA2179F-9B3D-4088-BAC4-831BA52AF4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Miller</dc:creator>
  <cp:keywords/>
  <dc:description/>
  <cp:lastModifiedBy/>
  <cp:revision/>
  <dcterms:created xsi:type="dcterms:W3CDTF">2005-10-17T20:30:19Z</dcterms:created>
  <dcterms:modified xsi:type="dcterms:W3CDTF">2026-07-01T17:53:22Z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0x0101006E848B5F9CDFEC4283105E2A17FECE0B</vt:lpwstr>
  </property>
  <property fmtid="{D5CDD505-2E9C-101B-9397-08002B2CF9AE}" pid="3" name="_dlc_DocIdItemGuid">
    <vt:lpwstr>a2118e0c-5a2f-4adc-8368-d10dde07ae6e</vt:lpwstr>
  </property>
  <property fmtid="{D5CDD505-2E9C-101B-9397-08002B2CF9AE}" pid="4" name="MediaServiceImageTags">
    <vt:lpwstr/>
  </property>
</Properties>
</file>