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mc:AlternateContent xmlns:mc="http://schemas.openxmlformats.org/markup-compatibility/2006">
    <mc:Choice Requires="x15">
      <x15ac:absPath xmlns:x15ac="http://schemas.microsoft.com/office/spreadsheetml/2010/11/ac" url="https://aro365531128.sharepoint.com/sites/Data/Documents/2026 ROOFING/"/>
    </mc:Choice>
  </mc:AlternateContent>
  <xr:revisionPtr revIDLastSave="0" documentId="8_{9E68F81A-4E23-4C9E-8FBB-2BAD21686C7B}" xr6:coauthVersionLast="47" xr6:coauthVersionMax="47" xr10:uidLastSave="{00000000-0000-0000-0000-000000000000}"/>
  <bookViews>
    <workbookView xWindow="1470" yWindow="630" windowWidth="21600" windowHeight="11160" xr2:uid="{00000000-000D-0000-FFFF-FFFF00000000}"/>
  </bookViews>
  <sheets>
    <sheet name="Estimate" sheetId="1" r:id="rId1"/>
    <sheet name="People" sheetId="3" r:id="rId2"/>
    <sheet name="TEST Job Spec" sheetId="15" r:id="rId3"/>
    <sheet name="Job Spec" sheetId="10" r:id="rId4"/>
    <sheet name="Tracking" sheetId="11" r:id="rId5"/>
    <sheet name="Extras" sheetId="13" r:id="rId6"/>
    <sheet name="Warranty" sheetId="14" r:id="rId7"/>
    <sheet name="Materials" sheetId="5" r:id="rId8"/>
  </sheets>
  <definedNames>
    <definedName name="_xlnm._FilterDatabase" localSheetId="0" hidden="1">Estimate!$F$170:$F$170</definedName>
    <definedName name="Coating_Databas">Estimate!#REF!</definedName>
    <definedName name="_xlnm.Print_Area">Estimate!$1:$10257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B26" i="1"/>
  <c r="B28" i="1"/>
  <c r="B45" i="15"/>
  <c r="G28" i="1"/>
  <c r="D45" i="15"/>
  <c r="E45" i="15"/>
  <c r="G45" i="15"/>
  <c r="G40" i="15"/>
  <c r="G41" i="15"/>
  <c r="G39" i="15"/>
  <c r="F40" i="15"/>
  <c r="F41" i="15"/>
  <c r="F39" i="15"/>
  <c r="E40" i="15"/>
  <c r="E41" i="15"/>
  <c r="E39" i="15"/>
  <c r="D40" i="15"/>
  <c r="D41" i="15"/>
  <c r="B40" i="15"/>
  <c r="B41" i="15"/>
  <c r="G36" i="1"/>
  <c r="F48" i="10" s="1"/>
  <c r="F52" i="15"/>
  <c r="B52" i="15"/>
  <c r="B51" i="15"/>
  <c r="G26" i="1"/>
  <c r="D43" i="15" s="1"/>
  <c r="G27" i="1"/>
  <c r="H27" i="1" s="1"/>
  <c r="B50" i="15"/>
  <c r="F49" i="15"/>
  <c r="B49" i="15"/>
  <c r="F48" i="15"/>
  <c r="B48" i="15"/>
  <c r="G44" i="15"/>
  <c r="E44" i="15"/>
  <c r="D44" i="15"/>
  <c r="B44" i="15"/>
  <c r="G43" i="15"/>
  <c r="E43" i="15"/>
  <c r="B43" i="15"/>
  <c r="B39" i="15"/>
  <c r="G10" i="15"/>
  <c r="B10" i="15"/>
  <c r="D116" i="1"/>
  <c r="D118" i="1"/>
  <c r="D126" i="1"/>
  <c r="D130" i="1"/>
  <c r="D132" i="1"/>
  <c r="D124" i="1"/>
  <c r="D120" i="1"/>
  <c r="D122" i="1"/>
  <c r="D128" i="1"/>
  <c r="D134" i="1"/>
  <c r="D148" i="1"/>
  <c r="B8" i="10" s="1"/>
  <c r="B6" i="15"/>
  <c r="B5" i="15"/>
  <c r="E154" i="1"/>
  <c r="H154" i="1"/>
  <c r="G4" i="15" s="1"/>
  <c r="B4" i="15"/>
  <c r="G3" i="15"/>
  <c r="B3" i="15"/>
  <c r="B2" i="15"/>
  <c r="E1" i="15"/>
  <c r="B1" i="15"/>
  <c r="U21" i="11"/>
  <c r="V21" i="11"/>
  <c r="W21" i="11"/>
  <c r="T21" i="11"/>
  <c r="S21" i="11"/>
  <c r="R21" i="11"/>
  <c r="Q21" i="11"/>
  <c r="P21" i="11"/>
  <c r="O21" i="11"/>
  <c r="N21" i="11"/>
  <c r="H20" i="11"/>
  <c r="K3" i="11"/>
  <c r="K4" i="11"/>
  <c r="K5" i="11"/>
  <c r="K6" i="11"/>
  <c r="K7" i="11"/>
  <c r="K8" i="11"/>
  <c r="K9" i="11"/>
  <c r="K10" i="11"/>
  <c r="K11" i="11"/>
  <c r="K12" i="11"/>
  <c r="K13" i="11"/>
  <c r="K14" i="11"/>
  <c r="K15" i="11"/>
  <c r="D21" i="11"/>
  <c r="C21" i="11"/>
  <c r="F21" i="11"/>
  <c r="E20" i="11"/>
  <c r="E21" i="11"/>
  <c r="B21" i="11"/>
  <c r="C25" i="11"/>
  <c r="C28" i="11" s="1"/>
  <c r="B21" i="1"/>
  <c r="B20" i="1"/>
  <c r="B19" i="1"/>
  <c r="G3" i="10"/>
  <c r="F4" i="14"/>
  <c r="F5" i="14"/>
  <c r="H3" i="14"/>
  <c r="F3" i="14"/>
  <c r="F2" i="14"/>
  <c r="F25" i="11"/>
  <c r="F28" i="11" s="1"/>
  <c r="W25" i="11"/>
  <c r="U25" i="11"/>
  <c r="U28" i="11" s="1"/>
  <c r="S25" i="11"/>
  <c r="S28" i="11" s="1"/>
  <c r="R25" i="11"/>
  <c r="R28" i="11" s="1"/>
  <c r="O25" i="11"/>
  <c r="O29" i="11" s="1"/>
  <c r="P25" i="11"/>
  <c r="J25" i="11"/>
  <c r="J29" i="11" s="1"/>
  <c r="G25" i="11"/>
  <c r="G28" i="11" s="1"/>
  <c r="D25" i="11"/>
  <c r="D29" i="11" s="1"/>
  <c r="W27" i="11"/>
  <c r="V27" i="11"/>
  <c r="U27" i="11"/>
  <c r="T27" i="11"/>
  <c r="S27" i="11"/>
  <c r="R27" i="11"/>
  <c r="Q27" i="11"/>
  <c r="P27" i="11"/>
  <c r="O27" i="11"/>
  <c r="N27" i="11"/>
  <c r="J27" i="11"/>
  <c r="I27" i="11"/>
  <c r="H27" i="11"/>
  <c r="G27" i="11"/>
  <c r="F27" i="11"/>
  <c r="D27" i="11"/>
  <c r="C27" i="11"/>
  <c r="B27" i="11"/>
  <c r="V24" i="11"/>
  <c r="U24" i="11"/>
  <c r="T24" i="11"/>
  <c r="S24" i="11"/>
  <c r="R24" i="11"/>
  <c r="Q24" i="11"/>
  <c r="P24" i="11"/>
  <c r="O24" i="11"/>
  <c r="N24" i="11"/>
  <c r="J24" i="11"/>
  <c r="I24" i="11"/>
  <c r="G24" i="11"/>
  <c r="F24" i="11"/>
  <c r="D24" i="11"/>
  <c r="C24" i="11"/>
  <c r="B24" i="11"/>
  <c r="J21" i="11"/>
  <c r="I21" i="11"/>
  <c r="I28" i="11"/>
  <c r="G21" i="11"/>
  <c r="H21" i="11"/>
  <c r="S18" i="11"/>
  <c r="P18" i="11"/>
  <c r="K18" i="11"/>
  <c r="S17" i="11"/>
  <c r="P17" i="11"/>
  <c r="K17" i="11"/>
  <c r="K21" i="11"/>
  <c r="K28" i="11"/>
  <c r="S16" i="11"/>
  <c r="P16" i="11"/>
  <c r="K16" i="11"/>
  <c r="W29" i="11"/>
  <c r="U29" i="11"/>
  <c r="P28" i="11"/>
  <c r="O28" i="11"/>
  <c r="W28" i="11"/>
  <c r="B2" i="10"/>
  <c r="D1" i="10"/>
  <c r="F45" i="10"/>
  <c r="F44" i="10"/>
  <c r="G41" i="10"/>
  <c r="E41" i="10"/>
  <c r="G40" i="10"/>
  <c r="E40" i="10"/>
  <c r="G39" i="10"/>
  <c r="E39" i="10"/>
  <c r="B41" i="10"/>
  <c r="B40" i="10"/>
  <c r="B39" i="10"/>
  <c r="G10" i="10"/>
  <c r="B10" i="10"/>
  <c r="B6" i="10"/>
  <c r="B5" i="10"/>
  <c r="B4" i="10"/>
  <c r="B3" i="10"/>
  <c r="B1" i="10"/>
  <c r="H99" i="1"/>
  <c r="G65" i="1"/>
  <c r="H65" i="1" s="1"/>
  <c r="G63" i="1"/>
  <c r="H63" i="1" s="1"/>
  <c r="B59" i="1"/>
  <c r="B60" i="1"/>
  <c r="B58" i="1"/>
  <c r="H142" i="1"/>
  <c r="G69" i="1"/>
  <c r="H69" i="1"/>
  <c r="H74" i="1"/>
  <c r="H73" i="1"/>
  <c r="H76" i="1"/>
  <c r="B74" i="1"/>
  <c r="B73" i="1"/>
  <c r="Q25" i="11"/>
  <c r="Q28" i="11" s="1"/>
  <c r="D41" i="10"/>
  <c r="H59" i="1"/>
  <c r="H60" i="1"/>
  <c r="H58" i="1"/>
  <c r="F12" i="1"/>
  <c r="E12" i="1"/>
  <c r="D12" i="1"/>
  <c r="H137" i="1"/>
  <c r="H79" i="1"/>
  <c r="B69" i="1"/>
  <c r="J134" i="1"/>
  <c r="H134" i="1" s="1"/>
  <c r="J128" i="1"/>
  <c r="G3" i="3"/>
  <c r="G4" i="3"/>
  <c r="G12" i="3" s="1"/>
  <c r="G5" i="3"/>
  <c r="G6" i="3"/>
  <c r="J126" i="1"/>
  <c r="G130" i="1"/>
  <c r="G128" i="1"/>
  <c r="H43" i="1"/>
  <c r="H88" i="1"/>
  <c r="B43" i="1"/>
  <c r="B44" i="10"/>
  <c r="H96" i="1"/>
  <c r="H94" i="1"/>
  <c r="H92" i="1"/>
  <c r="H90" i="1"/>
  <c r="H84" i="1"/>
  <c r="H86" i="1"/>
  <c r="B45" i="1"/>
  <c r="B45" i="10"/>
  <c r="H103" i="1"/>
  <c r="H101" i="1"/>
  <c r="H45" i="1"/>
  <c r="H28" i="1"/>
  <c r="G21" i="1"/>
  <c r="H21" i="1"/>
  <c r="D3" i="3"/>
  <c r="D12" i="3"/>
  <c r="H139" i="1"/>
  <c r="G134" i="1"/>
  <c r="H106" i="1"/>
  <c r="H108" i="1"/>
  <c r="B36" i="1"/>
  <c r="B48" i="10"/>
  <c r="B39" i="1"/>
  <c r="B47" i="10"/>
  <c r="B33" i="1"/>
  <c r="B46" i="10"/>
  <c r="H82" i="1"/>
  <c r="G4" i="10"/>
  <c r="G20" i="1"/>
  <c r="H20" i="1"/>
  <c r="G19" i="1"/>
  <c r="D39" i="15" s="1"/>
  <c r="G132" i="1"/>
  <c r="G126" i="1"/>
  <c r="G124" i="1"/>
  <c r="G122" i="1"/>
  <c r="G120" i="1"/>
  <c r="G118" i="1"/>
  <c r="G116" i="1"/>
  <c r="K10" i="3"/>
  <c r="K9" i="3"/>
  <c r="J9" i="3"/>
  <c r="K8" i="3"/>
  <c r="J8" i="3"/>
  <c r="I8" i="3"/>
  <c r="K7" i="3"/>
  <c r="J7" i="3"/>
  <c r="I7" i="3"/>
  <c r="H7" i="3"/>
  <c r="K6" i="3"/>
  <c r="J6" i="3"/>
  <c r="I6" i="3"/>
  <c r="H6" i="3"/>
  <c r="K5" i="3"/>
  <c r="J5" i="3"/>
  <c r="I5" i="3"/>
  <c r="H5" i="3"/>
  <c r="F5" i="3"/>
  <c r="F12" i="3" s="1"/>
  <c r="K4" i="3"/>
  <c r="J4" i="3"/>
  <c r="I4" i="3"/>
  <c r="H4" i="3"/>
  <c r="H12" i="3" s="1"/>
  <c r="F4" i="3"/>
  <c r="E4" i="3"/>
  <c r="K3" i="3"/>
  <c r="J3" i="3"/>
  <c r="I3" i="3"/>
  <c r="H3" i="3"/>
  <c r="F3" i="3"/>
  <c r="E3" i="3"/>
  <c r="E3" i="5"/>
  <c r="E2" i="5"/>
  <c r="G39" i="1"/>
  <c r="F51" i="15"/>
  <c r="H145" i="1"/>
  <c r="H156" i="1"/>
  <c r="H158" i="1"/>
  <c r="V25" i="11"/>
  <c r="F47" i="10"/>
  <c r="H25" i="11"/>
  <c r="H29" i="11" s="1"/>
  <c r="H26" i="1"/>
  <c r="H161" i="1"/>
  <c r="H39" i="1"/>
  <c r="J130" i="1"/>
  <c r="V29" i="11"/>
  <c r="V28" i="11"/>
  <c r="H36" i="1"/>
  <c r="T25" i="11"/>
  <c r="T29" i="11" s="1"/>
  <c r="J118" i="1"/>
  <c r="H118" i="1" s="1"/>
  <c r="J132" i="1"/>
  <c r="J122" i="1"/>
  <c r="H122" i="1" s="1"/>
  <c r="J116" i="1"/>
  <c r="H116" i="1" s="1"/>
  <c r="J124" i="1"/>
  <c r="H124" i="1" s="1"/>
  <c r="J120" i="1"/>
  <c r="H120" i="1" s="1"/>
  <c r="T28" i="11"/>
  <c r="H126" i="1" l="1"/>
  <c r="J12" i="3"/>
  <c r="E12" i="3"/>
  <c r="I12" i="3"/>
  <c r="B9" i="10"/>
  <c r="H128" i="1"/>
  <c r="H130" i="1"/>
  <c r="K12" i="3"/>
  <c r="H132" i="1"/>
  <c r="D28" i="11"/>
  <c r="B25" i="11"/>
  <c r="B8" i="15"/>
  <c r="B148" i="1"/>
  <c r="B9" i="15"/>
  <c r="C29" i="11"/>
  <c r="F29" i="11"/>
  <c r="G29" i="11"/>
  <c r="Q29" i="11"/>
  <c r="D40" i="10"/>
  <c r="N25" i="11"/>
  <c r="R29" i="11"/>
  <c r="G33" i="1"/>
  <c r="D191" i="1"/>
  <c r="H19" i="1"/>
  <c r="D39" i="10"/>
  <c r="H28" i="11"/>
  <c r="J28" i="11"/>
  <c r="H148" i="1" l="1"/>
  <c r="B29" i="11"/>
  <c r="B28" i="11"/>
  <c r="N29" i="11"/>
  <c r="N28" i="11"/>
  <c r="H33" i="1"/>
  <c r="H110" i="1" s="1"/>
  <c r="F46" i="10"/>
  <c r="F50" i="15"/>
  <c r="H111" i="1" l="1"/>
  <c r="H163" i="1"/>
  <c r="H165" i="1" l="1"/>
  <c r="E25" i="11" s="1"/>
  <c r="E29" i="11" l="1"/>
  <c r="E28" i="11"/>
  <c r="H167" i="1"/>
  <c r="H169" i="1" s="1"/>
  <c r="H170" i="1" s="1"/>
  <c r="B191" i="1" s="1"/>
</calcChain>
</file>

<file path=xl/sharedStrings.xml><?xml version="1.0" encoding="utf-8"?>
<sst xmlns="http://schemas.openxmlformats.org/spreadsheetml/2006/main" count="452" uniqueCount="326">
  <si>
    <t>Today's Date:</t>
  </si>
  <si>
    <t>Bill To Address:</t>
  </si>
  <si>
    <t>**EDIT HIGHLIGHTED SECTIONS ONLY**</t>
  </si>
  <si>
    <t>Job Name:</t>
  </si>
  <si>
    <t>City, State, Zip:</t>
  </si>
  <si>
    <t>Job Type:</t>
  </si>
  <si>
    <t>Contact:</t>
  </si>
  <si>
    <t>Site Address:</t>
  </si>
  <si>
    <t>Email Address:</t>
  </si>
  <si>
    <t>Phone:</t>
  </si>
  <si>
    <t xml:space="preserve">Core Sample </t>
  </si>
  <si>
    <t>Title:</t>
  </si>
  <si>
    <t xml:space="preserve">Structural Deck </t>
  </si>
  <si>
    <t xml:space="preserve">Existing Substrate </t>
  </si>
  <si>
    <t>Sales/Estimator</t>
  </si>
  <si>
    <t>Est. Square Feet:</t>
  </si>
  <si>
    <t>Materials</t>
  </si>
  <si>
    <t>*</t>
  </si>
  <si>
    <t>Type</t>
  </si>
  <si>
    <t>Sq. Ft.</t>
  </si>
  <si>
    <t>Unit Price</t>
  </si>
  <si>
    <t>Est. Units</t>
  </si>
  <si>
    <t>Est. Cost</t>
  </si>
  <si>
    <t>Foam</t>
  </si>
  <si>
    <t>Mfg:</t>
  </si>
  <si>
    <t>Gaco = 1, NCFI = 2</t>
  </si>
  <si>
    <t>Types:</t>
  </si>
  <si>
    <t>Roof 2.7 = 1</t>
  </si>
  <si>
    <t>Thickness</t>
  </si>
  <si>
    <t>Yield</t>
  </si>
  <si>
    <t>Coating</t>
  </si>
  <si>
    <t>Gaco = 1, GAF = 2, SW = 3</t>
  </si>
  <si>
    <t>Silicone = 1,  Acrylic = 2, Urethane = 3, Aluminum = 4</t>
  </si>
  <si>
    <t>Gal/Sq.</t>
  </si>
  <si>
    <t>Margin %</t>
  </si>
  <si>
    <t>Thinner</t>
  </si>
  <si>
    <t>Naphtha VM&amp;P = 1, Mineral Spirits = 2, Xylene= 3</t>
  </si>
  <si>
    <t>Granules</t>
  </si>
  <si>
    <t>3M = 1, SESCO = 2</t>
  </si>
  <si>
    <t>Primer</t>
  </si>
  <si>
    <t>Gaco E-5320 = 1, Red Zinc Oxide = 2, Black Foam = 3</t>
  </si>
  <si>
    <t>Caulk/Sealant</t>
  </si>
  <si>
    <t>Silicone Tube = 1, Silicone Sausage = 2, Urethane Tube = 3</t>
  </si>
  <si>
    <t>Urethane Sausage = 4, Gaco SF-2000 = 5, Buttergrade = 6</t>
  </si>
  <si>
    <t>Linear Ft.</t>
  </si>
  <si>
    <t>Misc./Seams</t>
  </si>
  <si>
    <t>Units</t>
  </si>
  <si>
    <t>Penetrations</t>
  </si>
  <si>
    <t>HVAC Units</t>
  </si>
  <si>
    <t>Drains</t>
  </si>
  <si>
    <t>Board Stock</t>
  </si>
  <si>
    <t>ISO Board = 1, Wood Fiber = 2, Dens Deck = 3</t>
  </si>
  <si>
    <t>Type X Gyp Board = 4, Flute Filler = 5</t>
  </si>
  <si>
    <t>Price/Sq.</t>
  </si>
  <si>
    <t>Length</t>
  </si>
  <si>
    <t xml:space="preserve">Fasteners </t>
  </si>
  <si>
    <t>Plates</t>
  </si>
  <si>
    <t>Dumpsters</t>
  </si>
  <si>
    <t>20 Yard = 1, 30 Yard = 2, 40 Yard = 3</t>
  </si>
  <si>
    <t>Lift</t>
  </si>
  <si>
    <t xml:space="preserve">Forklift = 1, Boom = 2, Scissor = 3, Articulating = 4 </t>
  </si>
  <si>
    <t>Size</t>
  </si>
  <si>
    <t>Period</t>
  </si>
  <si>
    <t>20'</t>
  </si>
  <si>
    <t>Delivery Fee</t>
  </si>
  <si>
    <t>Width</t>
  </si>
  <si>
    <t>Fabric</t>
  </si>
  <si>
    <t>Edge Metal</t>
  </si>
  <si>
    <t>Gutter</t>
  </si>
  <si>
    <t>Downspouts</t>
  </si>
  <si>
    <t>Roof Hatch</t>
  </si>
  <si>
    <t>Scuppers</t>
  </si>
  <si>
    <t>Curbs</t>
  </si>
  <si>
    <t>Ladders</t>
  </si>
  <si>
    <t>Pitch Pockets</t>
  </si>
  <si>
    <t>Est. Days</t>
  </si>
  <si>
    <t>Generator</t>
  </si>
  <si>
    <t>Misc.</t>
  </si>
  <si>
    <t>Freight</t>
  </si>
  <si>
    <t>No. of Trips</t>
  </si>
  <si>
    <t>R.T. Miles</t>
  </si>
  <si>
    <t>Sales/Inspect.</t>
  </si>
  <si>
    <t>Truck Exp.</t>
  </si>
  <si>
    <t>*****************</t>
  </si>
  <si>
    <t>Subtotal Materials</t>
  </si>
  <si>
    <t>Sales Tax %</t>
  </si>
  <si>
    <t>Labor / Subcontractor</t>
  </si>
  <si>
    <t>Days</t>
  </si>
  <si>
    <t>No. of People</t>
  </si>
  <si>
    <t>Total Hours</t>
  </si>
  <si>
    <t>Prevailing Wage</t>
  </si>
  <si>
    <t>Fringe</t>
  </si>
  <si>
    <t>Total Prevailing Wage</t>
  </si>
  <si>
    <t>Daily Rate</t>
  </si>
  <si>
    <t xml:space="preserve">FULL REPAIR </t>
  </si>
  <si>
    <t>PW/Prep</t>
  </si>
  <si>
    <t xml:space="preserve"> </t>
  </si>
  <si>
    <t>Tear Off</t>
  </si>
  <si>
    <t>Board</t>
  </si>
  <si>
    <t>Base</t>
  </si>
  <si>
    <t>Caulk/SF</t>
  </si>
  <si>
    <t>Details</t>
  </si>
  <si>
    <t>Top Coat/Gran</t>
  </si>
  <si>
    <t>Touch/Clean Up</t>
  </si>
  <si>
    <t>Est. Hours / Day</t>
  </si>
  <si>
    <t>Est. Rate</t>
  </si>
  <si>
    <t>Loading</t>
  </si>
  <si>
    <t xml:space="preserve">Traveling </t>
  </si>
  <si>
    <t>Est. Hours</t>
  </si>
  <si>
    <t>Infrared Scan</t>
  </si>
  <si>
    <t>Meals, Lodging Expenses</t>
  </si>
  <si>
    <t>Total Days</t>
  </si>
  <si>
    <t>Subtotal Labor / Subcontractor</t>
  </si>
  <si>
    <t>Warranty, Bonding, and Insurance</t>
  </si>
  <si>
    <t>Manufacturer</t>
  </si>
  <si>
    <t>Years</t>
  </si>
  <si>
    <t>Unit Cost</t>
  </si>
  <si>
    <t>Warranty</t>
  </si>
  <si>
    <t>renew</t>
  </si>
  <si>
    <t>Miscellaneous Insurance</t>
  </si>
  <si>
    <t>Permits</t>
  </si>
  <si>
    <t>Describe:</t>
  </si>
  <si>
    <t>Subtotal Warranty, Bonding, Insurance</t>
  </si>
  <si>
    <t>Total Job Cost</t>
  </si>
  <si>
    <t>Estimated O/H</t>
  </si>
  <si>
    <t>Percentage:</t>
  </si>
  <si>
    <t>Profit</t>
  </si>
  <si>
    <t>Work Sheet Price</t>
  </si>
  <si>
    <t>Work Sheet Price + Additional Amount w/o Markup</t>
  </si>
  <si>
    <t>Warranty - 10yr</t>
  </si>
  <si>
    <t xml:space="preserve">Misc Insurance </t>
  </si>
  <si>
    <t>Porta John</t>
  </si>
  <si>
    <t>Misc Materials</t>
  </si>
  <si>
    <t>Additional Amount w/o Markup</t>
  </si>
  <si>
    <t>Summary</t>
  </si>
  <si>
    <t>Price / Sq. Ft:</t>
  </si>
  <si>
    <t>Est. Sets:</t>
  </si>
  <si>
    <t>Crew Size</t>
  </si>
  <si>
    <t>Job Classification</t>
  </si>
  <si>
    <t>Hourly Wage</t>
  </si>
  <si>
    <t>Burden Rate</t>
  </si>
  <si>
    <t>Foreman / Sprayer</t>
  </si>
  <si>
    <t>Sprayer / Trailer</t>
  </si>
  <si>
    <t xml:space="preserve">Trailer / Hose </t>
  </si>
  <si>
    <t>Hose / Laborer</t>
  </si>
  <si>
    <t>Laborer</t>
  </si>
  <si>
    <t>Hours /Day</t>
  </si>
  <si>
    <t>Estimated Cost/Day</t>
  </si>
  <si>
    <t>Crew Leaders</t>
  </si>
  <si>
    <t>Hourly</t>
  </si>
  <si>
    <t>Travel</t>
  </si>
  <si>
    <t>Mariano Perez</t>
  </si>
  <si>
    <t>Gustavo Garcia</t>
  </si>
  <si>
    <t>Carlos Garcia</t>
  </si>
  <si>
    <t>Abel Reyes</t>
  </si>
  <si>
    <t>Santos Ocampo</t>
  </si>
  <si>
    <t>Workers</t>
  </si>
  <si>
    <t>Erik Avila</t>
  </si>
  <si>
    <t>Miguel Avila</t>
  </si>
  <si>
    <t>Juan Loa</t>
  </si>
  <si>
    <t>Gilberto Morales</t>
  </si>
  <si>
    <t>Federico</t>
  </si>
  <si>
    <t>Melvin Lutin</t>
  </si>
  <si>
    <t>Onilson Morales</t>
  </si>
  <si>
    <t>Edvin</t>
  </si>
  <si>
    <t>Pedro Morales</t>
  </si>
  <si>
    <t>Jesus Martinez</t>
  </si>
  <si>
    <t>Andres</t>
  </si>
  <si>
    <t xml:space="preserve">Alonso </t>
  </si>
  <si>
    <t>Job Name</t>
  </si>
  <si>
    <r>
      <t>To insert a new line (line break) inside an Excel cell, press </t>
    </r>
    <r>
      <rPr>
        <b/>
        <sz val="10"/>
        <rFont val="Arial"/>
        <family val="2"/>
      </rPr>
      <t>Alt + Enter</t>
    </r>
    <r>
      <rPr>
        <sz val="10"/>
        <rFont val="Arial"/>
        <family val="2"/>
      </rPr>
      <t> on Windows</t>
    </r>
  </si>
  <si>
    <t>Address</t>
  </si>
  <si>
    <t>To create a bulleted list in an Excel cell, double-click the cell, press Alt + 7 (or Alt + 0149 on the numeric keypad) to insert a bullet, type your text, and press Alt + Enter to start a new line.</t>
  </si>
  <si>
    <t>City, State, ZIP</t>
  </si>
  <si>
    <t>Estimator</t>
  </si>
  <si>
    <t>Contact Name</t>
  </si>
  <si>
    <t>Cell #</t>
  </si>
  <si>
    <t>Email</t>
  </si>
  <si>
    <t xml:space="preserve">Mobilizations </t>
  </si>
  <si>
    <t>Est. # of Days</t>
  </si>
  <si>
    <t>Est. # of Hours</t>
  </si>
  <si>
    <t>Est. Crew Size</t>
  </si>
  <si>
    <t xml:space="preserve">Total sq. ft. </t>
  </si>
  <si>
    <t xml:space="preserve">Scope of Work: </t>
  </si>
  <si>
    <t>• Set-up jobsite safety (warning lines, barricades around equipment/dumpsters, roof anchors for tie-off around edges, signs, cones, etc.).</t>
  </si>
  <si>
    <t>Materials Needed</t>
  </si>
  <si>
    <t>Manufacturer/Product/Color</t>
  </si>
  <si>
    <t xml:space="preserve">Quantity </t>
  </si>
  <si>
    <t xml:space="preserve">~ Sq. Ft. </t>
  </si>
  <si>
    <t>Inches Thick</t>
  </si>
  <si>
    <t xml:space="preserve">Yield. </t>
  </si>
  <si>
    <t>Roof Foam 1</t>
  </si>
  <si>
    <t>Roof Foam 2</t>
  </si>
  <si>
    <t>Roof Foam 3</t>
  </si>
  <si>
    <t>MILS Thick</t>
  </si>
  <si>
    <t>Coating 1</t>
  </si>
  <si>
    <t>Coating 2</t>
  </si>
  <si>
    <t>Coating 3</t>
  </si>
  <si>
    <t>Other Materials</t>
  </si>
  <si>
    <t>Quantity</t>
  </si>
  <si>
    <t>Caulk</t>
  </si>
  <si>
    <t>SF</t>
  </si>
  <si>
    <t xml:space="preserve">Notes: </t>
  </si>
  <si>
    <t xml:space="preserve">Roof Foam  </t>
  </si>
  <si>
    <t>Base Coat</t>
  </si>
  <si>
    <t>Top Coat</t>
  </si>
  <si>
    <t>Actual Amounts</t>
  </si>
  <si>
    <t>Labor Hours</t>
  </si>
  <si>
    <t>Travel Hours</t>
  </si>
  <si>
    <t>Load Hours</t>
  </si>
  <si>
    <t>OS Hours</t>
  </si>
  <si>
    <t>Mileage</t>
  </si>
  <si>
    <t>OS Mileage</t>
  </si>
  <si>
    <t>Foam Strokes</t>
  </si>
  <si>
    <t>Thickness (in.)</t>
  </si>
  <si>
    <t>Sq. Ft. (Foam)</t>
  </si>
  <si>
    <t>Foam Yield</t>
  </si>
  <si>
    <t>A-Side Lot #</t>
  </si>
  <si>
    <t>B-Side Lot #</t>
  </si>
  <si>
    <t>Sq. Ft. (Base)</t>
  </si>
  <si>
    <t>Gal/Sq. (Base)</t>
  </si>
  <si>
    <t>Sq. Ft. (Top)</t>
  </si>
  <si>
    <t>Gal/Sq. (Top)</t>
  </si>
  <si>
    <t>Crew</t>
  </si>
  <si>
    <t>Notes</t>
  </si>
  <si>
    <t>Insert Additional Lines Here</t>
  </si>
  <si>
    <t>Daily Totals</t>
  </si>
  <si>
    <t>Estimated Amounts</t>
  </si>
  <si>
    <t>Overhead</t>
  </si>
  <si>
    <t>Foam (lbs.)</t>
  </si>
  <si>
    <t>Over/Under</t>
  </si>
  <si>
    <t>Date</t>
  </si>
  <si>
    <t>Crew Leader</t>
  </si>
  <si>
    <t>Description/Notes</t>
  </si>
  <si>
    <t xml:space="preserve">Additional Materials Used? </t>
  </si>
  <si>
    <t xml:space="preserve">Notified All Parties? </t>
  </si>
  <si>
    <t>Change Order?</t>
  </si>
  <si>
    <t>Associated Cost (+/-)</t>
  </si>
  <si>
    <t xml:space="preserve">Building Owner or Representative </t>
  </si>
  <si>
    <t xml:space="preserve">Building Address </t>
  </si>
  <si>
    <t xml:space="preserve">Spray-Tec System </t>
  </si>
  <si>
    <t>Warranty Term</t>
  </si>
  <si>
    <t xml:space="preserve">Roof Sections Covered  </t>
  </si>
  <si>
    <t>Date of Issue</t>
  </si>
  <si>
    <t>Date of Expiration</t>
  </si>
  <si>
    <t>SPRAY-TEC, INC. hereby warrants to the Owner of the building located at the address listed above, subject to the terms, conditions, and limitations set forth below, that the Spray-Tec  roof system (listed above) will not leak due to deterioration of the newly-sprayed coating or the application thereof, as the result of ordinary weather conditions, for the warranty period set forth above</t>
  </si>
  <si>
    <t>THIS WARRANTY IS SUBJECT TO THE FOLLOWING TERMS AND CONDITIONS:</t>
  </si>
  <si>
    <t>1. The warranty does not include leaks, damage or failure caused by or due to hail, lightning, windstorm, tornado, fire, earthquake, hurricane, or other unusual phenomena of the elements or Acts of God; settlement, movement, deflection, warpage, distortion, displacement or any other failure of the structure; cracks, breaks or openings in the substrate to which the materials are applied, as well as cracks, breaks, blisters or ruptures in the structural base exceeding 1/16” in width; surface alterations, additions, objects placed or installations made on the finished surface or use of the finished surface for walking or recreational areas or other unnatural or unintended uses; penetration, vandalism damage or attach by third parties and foreign objects or agents, including animal and plant life, failure of flashings, expansion and control joints and metal work and repairs required by reason of defects therein or any manner related to the design and construction of the building; discoloration or change in visual appearance due to accumulation or streaking of dirt or other airborne materials deposited on the surface from the atmosphere.</t>
  </si>
  <si>
    <t>2. No claim may be made under this warranty until all payments and other obligations of the contract between the Owner and SPRAY-TEC, INC. have been made and fulfilled by the Owner.</t>
  </si>
  <si>
    <t>3. Written notice of any defect or malfunction must be delivered to SPRAY-TEC, INC. within thirty (30) days of discovery of same.</t>
  </si>
  <si>
    <t>4. Prior to repair or replacement of any defective materials or installation, it shall be the Owner’s responsibility to remove, at Owner’s expense, all obstructions from the affected area that would hinder repairs being made in the most expeditious and least expensive manner possible.</t>
  </si>
  <si>
    <t>5. Owner’s exclusive remedy for claims arising under this warranty shall be repair or replacement, at SPRAY-TEC’s option, during the warranty period. This remedy shall be the sole and exclusive remedy for the obligations of SPRAY-TEC arising from the installation. In no case will SPRAY-TEC be liable for incidental or consequential loss or damage, including, but not limited to property, delay in work, loss of goodwill, loss of profits or other economic loss, whether such incidental or consequential loss or damage is claimed on account of breach of contract, negligence, strict liability, in tort or other legal theory.</t>
  </si>
  <si>
    <t>6. On an annual basis, SPRAY-TEC shall have the right, at its option, to inspect or have inspected the roofing system and any other areas it determines necessary and shall, with the Owner’s authorization and at the Owner’s expense, make or cause to be made repairs of any damages which are not the responsibility of SPRAY-TEC. This warranty shall be terminated automatically if SPRAY-TEC is not allowed to perform an inspection and if SPRAY-TEC’s recommendations are not followed.</t>
  </si>
  <si>
    <t>7. SPRAY-TEC neither assumes nor authorizes its personnel or any other person to extend any other warranty in connection with the installation of the new foam/ silicone coating roof system.</t>
  </si>
  <si>
    <t>8. This warranty constitutes the entire and final expression of this warranty, and it is a complete and conclusive statement of the terms of this warranty.</t>
  </si>
  <si>
    <t>COVERAGE</t>
  </si>
  <si>
    <t>CLAIM PROCESS</t>
  </si>
  <si>
    <t>ITEMS NOT COVERED</t>
  </si>
  <si>
    <t xml:space="preserve">Covers defects in workmanship </t>
  </si>
  <si>
    <r>
      <t xml:space="preserve">Submit claim in writing within warranty period 
</t>
    </r>
    <r>
      <rPr>
        <b/>
        <sz val="10"/>
        <rFont val="Calibri"/>
        <family val="2"/>
        <scheme val="minor"/>
      </rPr>
      <t>Website &gt; Submit Warranty Claim</t>
    </r>
  </si>
  <si>
    <t xml:space="preserve">Normal wear and tear, intentional damage, negligent or deferred maintenance. </t>
  </si>
  <si>
    <t xml:space="preserve">Covers labor for repairs </t>
  </si>
  <si>
    <t xml:space="preserve">Notify contractor of issue within warranty period </t>
  </si>
  <si>
    <t xml:space="preserve">Limited to original repair scope 
Modifications by unauthorized personnel </t>
  </si>
  <si>
    <t xml:space="preserve">Covers materials for repair </t>
  </si>
  <si>
    <t xml:space="preserve">Provide evidence of defect with materials </t>
  </si>
  <si>
    <t xml:space="preserve">Excludes normal wear and tear
Acts of nature </t>
  </si>
  <si>
    <t>This warranty is null and void should any person or persons not specifically authorized by SPRAY-TEC perform any repairs to the installation. SPRAY-TEC makes no representations or warranties of any kind, express or implied, whether as to merchantability, fitness for a particular purpose, or any other matter, except as specifically set forth on the face hereof with respect to the goods it sells and/or installs.</t>
  </si>
  <si>
    <t>OWNER</t>
  </si>
  <si>
    <t>SPRAY-TEC INC.</t>
  </si>
  <si>
    <t>By: __________________________________</t>
  </si>
  <si>
    <t>Title: _________________________________</t>
  </si>
  <si>
    <t>Date: ________________________________</t>
  </si>
  <si>
    <r>
      <t xml:space="preserve">Thank you for partnering with our Team on this project! We aim to make you a PROUD Spray-Tec Customer for the life of your roof   and beyond! 
Enclosed you will find your full system warranty. Please read through it carefully. We recommend you take a few minutes to note what your warranty does NOT cover: </t>
    </r>
    <r>
      <rPr>
        <i/>
        <sz val="10"/>
        <rFont val="Calibri"/>
        <family val="2"/>
        <scheme val="minor"/>
      </rPr>
      <t xml:space="preserve">hail, tornadoes and other Acts of God; mechanical damage from various trades; clogged gutters or roof drains, are not covered in your warranty. </t>
    </r>
    <r>
      <rPr>
        <sz val="10"/>
        <rFont val="Calibri"/>
        <family val="2"/>
        <scheme val="minor"/>
      </rPr>
      <t xml:space="preserve">
</t>
    </r>
    <r>
      <rPr>
        <b/>
        <sz val="10"/>
        <rFont val="Calibri"/>
        <family val="2"/>
        <scheme val="minor"/>
      </rPr>
      <t>To comply with warranty standards, proper maintenance IS required on our systems.</t>
    </r>
    <r>
      <rPr>
        <sz val="10"/>
        <rFont val="Calibri"/>
        <family val="2"/>
        <scheme val="minor"/>
      </rPr>
      <t xml:space="preserve"> Like many things, annual maintenance can extend the life of your roof well beyond it's warranty. Your new roof should be serviced once (preferably twice!) a year.
As part of our loyalty program, we will inspect and perform any necessary maintenance/repairs to your roof one time after this warranty is signed.
At that time, a member of our Team will contact you to schedule the inspection. Your presence is not required; you will receive an email of our findings when the inspection is finished.  Based on the results of this initial visit, you will be offered the opportunity to enroll in an Annual Maintenance program that best fits your roof’s needs. 
To learn more about our Annual Service Program (STAMP), please visit our website: www.spray-tec.com/repairs/
Thank you again, 
Haley J. Burge 
Operations </t>
    </r>
  </si>
  <si>
    <t xml:space="preserve">NEED FURTHER ASSISTANCE? </t>
  </si>
  <si>
    <t>Please Contact Our Team from the Directory Below:</t>
  </si>
  <si>
    <t xml:space="preserve">Website: www.spray-tec.com </t>
  </si>
  <si>
    <t xml:space="preserve">Office Phone: (502) 633-5499 </t>
  </si>
  <si>
    <t xml:space="preserve">Fax: (502) 633-5499 </t>
  </si>
  <si>
    <t>Department</t>
  </si>
  <si>
    <t>Spray-Tec Team</t>
  </si>
  <si>
    <t>Contact Information</t>
  </si>
  <si>
    <t>Sales/Estimating</t>
  </si>
  <si>
    <t>Aaron Martin</t>
  </si>
  <si>
    <t>amartin@spray-tec.com  |  Office x105  |  (502) 321-1008</t>
  </si>
  <si>
    <t>Anthony Palmer</t>
  </si>
  <si>
    <t>anthony@spray-tec.com  |  Office x106  |  (502) 743-1085</t>
  </si>
  <si>
    <t>Repairs &amp; Service</t>
  </si>
  <si>
    <t>Haley J. Burge</t>
  </si>
  <si>
    <t>haley@spray-tec.com  | Office x101  |  (502) 321-6309</t>
  </si>
  <si>
    <t xml:space="preserve">Financial </t>
  </si>
  <si>
    <t>Kay M. Jordan</t>
  </si>
  <si>
    <t>kay@spray-tec.com  |  Office x103</t>
  </si>
  <si>
    <t>Production</t>
  </si>
  <si>
    <t>Quin Heisler</t>
  </si>
  <si>
    <t>quin@spray-tec.com  |  (502) 321-0867</t>
  </si>
  <si>
    <t>Solvents</t>
  </si>
  <si>
    <t>Cost</t>
  </si>
  <si>
    <t>Unit</t>
  </si>
  <si>
    <t>Per Gal</t>
  </si>
  <si>
    <t>VM&amp;P Natha</t>
  </si>
  <si>
    <t>Xylene</t>
  </si>
  <si>
    <t>4"</t>
  </si>
  <si>
    <t>6"</t>
  </si>
  <si>
    <t>9"</t>
  </si>
  <si>
    <t>12"</t>
  </si>
  <si>
    <t>18"</t>
  </si>
  <si>
    <t>36"</t>
  </si>
  <si>
    <t>48"</t>
  </si>
  <si>
    <t>Truckload</t>
  </si>
  <si>
    <t>Dens Deck</t>
  </si>
  <si>
    <t>0.25"</t>
  </si>
  <si>
    <t>Square</t>
  </si>
  <si>
    <t>Blackboard</t>
  </si>
  <si>
    <t>.5"</t>
  </si>
  <si>
    <t>Type X Gyp. Brd</t>
  </si>
  <si>
    <t>ISO board</t>
  </si>
  <si>
    <t>1"</t>
  </si>
  <si>
    <t>1.5"</t>
  </si>
  <si>
    <t>2"</t>
  </si>
  <si>
    <t>3"</t>
  </si>
  <si>
    <t>Fasteners</t>
  </si>
  <si>
    <t>Metal Screws</t>
  </si>
  <si>
    <t>&gt;8</t>
  </si>
  <si>
    <t>call for pricing</t>
  </si>
  <si>
    <t>Carlisle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</si>
</sst>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
  </numFmts>
  <fonts count="32">
    <font>
      <sz val="10"/>
      <name val="Arial"/>
    </font>
    <font>
      <sz val="11"/>
      <color theme="1"/>
      <name val="Calibri"/>
      <family val="2"/>
      <scheme val="minor"/>
    </font>
    <font>
      <b/>
      <sz val="10"/>
      <name val="Arial"/>
      <family val="2"/>
    </font>
    <font>
      <sz val="10"/>
      <name val="Arial"/>
      <family val="2"/>
    </font>
    <font>
      <b/>
      <i/>
      <u/>
      <sz val="12"/>
      <name val="Arial"/>
      <family val="2"/>
    </font>
    <font>
      <sz val="8"/>
      <name val="Arial"/>
      <family val="2"/>
    </font>
    <font>
      <b/>
      <sz val="10"/>
      <name val="Arial"/>
      <family val="2"/>
    </font>
    <font>
      <b/>
      <sz val="11"/>
      <name val="Arial"/>
      <family val="2"/>
    </font>
    <font>
      <sz val="11"/>
      <color indexed="10"/>
      <name val="Arial"/>
      <family val="2"/>
    </font>
    <font>
      <b/>
      <sz val="11"/>
      <color indexed="10"/>
      <name val="Arial"/>
      <family val="2"/>
    </font>
    <font>
      <b/>
      <sz val="11"/>
      <color indexed="17"/>
      <name val="Arial"/>
      <family val="2"/>
    </font>
    <font>
      <b/>
      <sz val="11"/>
      <color rgb="FFFF0000"/>
      <name val="Arial"/>
      <family val="2"/>
    </font>
    <font>
      <sz val="11"/>
      <name val="Arial"/>
      <family val="2"/>
    </font>
    <font>
      <b/>
      <u/>
      <sz val="10"/>
      <name val="Arial"/>
      <family val="2"/>
    </font>
    <font>
      <sz val="10"/>
      <name val="Arial"/>
      <family val="2"/>
    </font>
    <font>
      <b/>
      <sz val="9"/>
      <color indexed="10"/>
      <name val="Arial"/>
      <family val="2"/>
    </font>
    <font>
      <b/>
      <sz val="10"/>
      <color indexed="17"/>
      <name val="Arial"/>
      <family val="2"/>
    </font>
    <font>
      <sz val="10"/>
      <color theme="1"/>
      <name val="Arial"/>
      <family val="2"/>
    </font>
    <font>
      <u/>
      <sz val="10"/>
      <color theme="10"/>
      <name val="Arial"/>
      <family val="2"/>
    </font>
    <font>
      <sz val="11"/>
      <color rgb="FFFF0000"/>
      <name val="Calibri"/>
      <family val="2"/>
      <scheme val="minor"/>
    </font>
    <font>
      <b/>
      <sz val="11"/>
      <color theme="1"/>
      <name val="Calibri"/>
      <family val="2"/>
      <scheme val="minor"/>
    </font>
    <font>
      <b/>
      <u/>
      <sz val="11"/>
      <color theme="1"/>
      <name val="Calibri"/>
      <family val="2"/>
      <scheme val="minor"/>
    </font>
    <font>
      <b/>
      <sz val="9"/>
      <color theme="1"/>
      <name val="Calibri"/>
      <family val="2"/>
      <scheme val="minor"/>
    </font>
    <font>
      <sz val="10"/>
      <name val="Calibri"/>
      <family val="2"/>
      <scheme val="minor"/>
    </font>
    <font>
      <b/>
      <sz val="12"/>
      <name val="Calibri"/>
      <family val="2"/>
      <scheme val="minor"/>
    </font>
    <font>
      <b/>
      <sz val="11"/>
      <name val="Calibri"/>
      <family val="2"/>
      <scheme val="minor"/>
    </font>
    <font>
      <sz val="11"/>
      <name val="Calibri"/>
      <family val="2"/>
      <scheme val="minor"/>
    </font>
    <font>
      <b/>
      <sz val="10"/>
      <name val="Calibri"/>
      <family val="2"/>
      <scheme val="minor"/>
    </font>
    <font>
      <i/>
      <sz val="10"/>
      <name val="Calibri"/>
      <family val="2"/>
      <scheme val="minor"/>
    </font>
    <font>
      <b/>
      <sz val="11"/>
      <color rgb="FFFF0000"/>
      <name val="Calibri"/>
      <family val="2"/>
      <scheme val="minor"/>
    </font>
    <font>
      <b/>
      <sz val="10"/>
      <name val="Arial"/>
    </font>
    <font>
      <b/>
      <sz val="10"/>
      <color rgb="FFFF0000"/>
      <name val="Arial"/>
      <family val="2"/>
    </font>
  </fonts>
  <fills count="11">
    <fill>
      <patternFill patternType="none"/>
    </fill>
    <fill>
      <patternFill patternType="gray125"/>
    </fill>
    <fill>
      <patternFill patternType="solid">
        <fgColor indexed="22"/>
        <bgColor indexed="64"/>
      </patternFill>
    </fill>
    <fill>
      <patternFill patternType="solid">
        <fgColor indexed="22"/>
        <bgColor indexed="22"/>
      </patternFill>
    </fill>
    <fill>
      <patternFill patternType="solid">
        <fgColor indexed="22"/>
        <bgColor indexed="9"/>
      </patternFill>
    </fill>
    <fill>
      <patternFill patternType="solid">
        <fgColor theme="0" tint="-0.249977111117893"/>
        <bgColor indexed="64"/>
      </patternFill>
    </fill>
    <fill>
      <patternFill patternType="solid">
        <fgColor theme="0"/>
        <bgColor indexed="64"/>
      </patternFill>
    </fill>
    <fill>
      <patternFill patternType="solid">
        <fgColor theme="3" tint="0.59999389629810485"/>
        <bgColor indexed="64"/>
      </patternFill>
    </fill>
    <fill>
      <patternFill patternType="solid">
        <fgColor theme="1"/>
        <bgColor indexed="64"/>
      </patternFill>
    </fill>
    <fill>
      <patternFill patternType="solid">
        <fgColor rgb="FFFFFF00"/>
        <bgColor indexed="64"/>
      </patternFill>
    </fill>
    <fill>
      <patternFill patternType="solid">
        <fgColor theme="0" tint="-0.14999847407452621"/>
        <bgColor indexed="64"/>
      </patternFill>
    </fill>
  </fills>
  <borders count="3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44" fontId="3" fillId="0" borderId="0" applyFont="0" applyFill="0" applyBorder="0" applyAlignment="0" applyProtection="0"/>
    <xf numFmtId="9" fontId="3" fillId="0" borderId="0" applyFont="0" applyFill="0" applyBorder="0" applyAlignment="0" applyProtection="0"/>
    <xf numFmtId="43" fontId="14" fillId="0" borderId="0" applyFont="0" applyFill="0" applyBorder="0" applyAlignment="0" applyProtection="0"/>
    <xf numFmtId="0" fontId="18" fillId="0" borderId="0" applyNumberFormat="0" applyFill="0" applyBorder="0" applyAlignment="0" applyProtection="0"/>
  </cellStyleXfs>
  <cellXfs count="326">
    <xf numFmtId="0" fontId="0" fillId="0" borderId="0" xfId="0"/>
    <xf numFmtId="0" fontId="6" fillId="0" borderId="0" xfId="0" applyFont="1" applyAlignment="1">
      <alignment horizontal="center" wrapText="1"/>
    </xf>
    <xf numFmtId="0" fontId="0" fillId="0" borderId="2" xfId="0" applyBorder="1"/>
    <xf numFmtId="0" fontId="6" fillId="2" borderId="0" xfId="0" applyFont="1" applyFill="1"/>
    <xf numFmtId="165" fontId="0" fillId="0" borderId="0" xfId="0" applyNumberFormat="1"/>
    <xf numFmtId="0" fontId="6" fillId="0" borderId="0" xfId="0" applyFont="1" applyAlignment="1">
      <alignment horizontal="center"/>
    </xf>
    <xf numFmtId="8" fontId="0" fillId="0" borderId="0" xfId="0" applyNumberFormat="1"/>
    <xf numFmtId="0" fontId="2" fillId="0" borderId="0" xfId="0" applyFont="1" applyAlignment="1" applyProtection="1">
      <alignment horizontal="left" vertical="center"/>
      <protection locked="0"/>
    </xf>
    <xf numFmtId="0" fontId="0" fillId="0" borderId="2" xfId="0" applyBorder="1" applyAlignment="1">
      <alignment horizontal="left"/>
    </xf>
    <xf numFmtId="44" fontId="0" fillId="0" borderId="2" xfId="1" applyFont="1" applyBorder="1"/>
    <xf numFmtId="0" fontId="0" fillId="8" borderId="2" xfId="0" applyFill="1" applyBorder="1"/>
    <xf numFmtId="44" fontId="0" fillId="5" borderId="2" xfId="1" applyFont="1" applyFill="1" applyBorder="1"/>
    <xf numFmtId="0" fontId="0" fillId="5" borderId="2" xfId="0" applyFill="1" applyBorder="1"/>
    <xf numFmtId="0" fontId="7" fillId="0" borderId="0" xfId="1" applyNumberFormat="1" applyFont="1" applyFill="1" applyBorder="1" applyAlignment="1" applyProtection="1">
      <alignment horizontal="right" vertical="center"/>
      <protection locked="0"/>
    </xf>
    <xf numFmtId="0" fontId="7"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2" fontId="7" fillId="0" borderId="0" xfId="0" applyNumberFormat="1" applyFont="1" applyAlignment="1" applyProtection="1">
      <alignment horizontal="right" vertical="center"/>
      <protection locked="0"/>
    </xf>
    <xf numFmtId="0" fontId="3" fillId="0" borderId="0" xfId="0" applyFont="1" applyAlignment="1" applyProtection="1">
      <alignment vertical="center"/>
      <protection locked="0"/>
    </xf>
    <xf numFmtId="0" fontId="0" fillId="0" borderId="0" xfId="0" applyAlignment="1" applyProtection="1">
      <alignment vertical="center"/>
      <protection locked="0"/>
    </xf>
    <xf numFmtId="0" fontId="4" fillId="0" borderId="0" xfId="0" applyFont="1" applyAlignment="1" applyProtection="1">
      <alignment vertical="center"/>
      <protection locked="0"/>
    </xf>
    <xf numFmtId="14" fontId="0" fillId="2" borderId="0" xfId="0" applyNumberFormat="1" applyFill="1" applyAlignment="1" applyProtection="1">
      <alignment horizontal="left" vertical="center"/>
      <protection locked="0"/>
    </xf>
    <xf numFmtId="0" fontId="3" fillId="2" borderId="0" xfId="0" applyFont="1" applyFill="1" applyAlignment="1" applyProtection="1">
      <alignment horizontal="centerContinuous" vertical="center"/>
      <protection locked="0"/>
    </xf>
    <xf numFmtId="0" fontId="3" fillId="2" borderId="0" xfId="0" applyFont="1" applyFill="1" applyAlignment="1" applyProtection="1">
      <alignment vertical="center"/>
      <protection locked="0"/>
    </xf>
    <xf numFmtId="0" fontId="3" fillId="2" borderId="0" xfId="0" applyFont="1" applyFill="1" applyAlignment="1" applyProtection="1">
      <alignment horizontal="left" vertical="center"/>
      <protection locked="0"/>
    </xf>
    <xf numFmtId="0" fontId="0" fillId="2" borderId="0" xfId="0" applyFill="1" applyAlignment="1" applyProtection="1">
      <alignment horizontal="left" vertical="center"/>
      <protection locked="0"/>
    </xf>
    <xf numFmtId="0" fontId="3" fillId="5" borderId="0" xfId="0" applyFont="1" applyFill="1" applyAlignment="1" applyProtection="1">
      <alignment vertical="center"/>
      <protection locked="0"/>
    </xf>
    <xf numFmtId="0" fontId="2" fillId="2" borderId="0" xfId="0" applyFont="1" applyFill="1" applyAlignment="1" applyProtection="1">
      <alignment horizontal="left" vertical="center"/>
      <protection locked="0"/>
    </xf>
    <xf numFmtId="49" fontId="0" fillId="2" borderId="0" xfId="0" applyNumberFormat="1" applyFill="1" applyAlignment="1" applyProtection="1">
      <alignment horizontal="left" vertical="center"/>
      <protection locked="0"/>
    </xf>
    <xf numFmtId="0" fontId="3" fillId="0" borderId="0" xfId="0" applyFont="1" applyAlignment="1" applyProtection="1">
      <alignment horizontal="right" vertical="center"/>
      <protection locked="0"/>
    </xf>
    <xf numFmtId="0" fontId="3" fillId="0" borderId="0" xfId="0" applyFont="1" applyAlignment="1" applyProtection="1">
      <alignment horizontal="centerContinuous" vertical="center"/>
      <protection locked="0"/>
    </xf>
    <xf numFmtId="3" fontId="3" fillId="3" borderId="0" xfId="0" applyNumberFormat="1" applyFont="1" applyFill="1" applyAlignment="1" applyProtection="1">
      <alignment horizontal="right" vertical="center"/>
      <protection locked="0"/>
    </xf>
    <xf numFmtId="0" fontId="3" fillId="0" borderId="0" xfId="0" applyFont="1" applyAlignment="1" applyProtection="1">
      <alignment horizontal="fill" vertical="center"/>
      <protection locked="0"/>
    </xf>
    <xf numFmtId="0" fontId="3" fillId="0" borderId="0" xfId="0" applyFont="1" applyAlignment="1" applyProtection="1">
      <alignment horizontal="left" vertical="center"/>
      <protection locked="0"/>
    </xf>
    <xf numFmtId="0" fontId="3" fillId="5"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7" fontId="3" fillId="4" borderId="0" xfId="0" applyNumberFormat="1" applyFont="1" applyFill="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0" fontId="3" fillId="0" borderId="0" xfId="0" applyFont="1" applyAlignment="1" applyProtection="1">
      <alignment horizontal="center" vertical="center"/>
      <protection locked="0"/>
    </xf>
    <xf numFmtId="7" fontId="3" fillId="0" borderId="0" xfId="0" applyNumberFormat="1" applyFont="1" applyAlignment="1" applyProtection="1">
      <alignment horizontal="right" vertical="center"/>
      <protection locked="0"/>
    </xf>
    <xf numFmtId="4" fontId="3" fillId="0" borderId="0" xfId="0" applyNumberFormat="1" applyFont="1" applyAlignment="1" applyProtection="1">
      <alignment vertical="center"/>
      <protection locked="0"/>
    </xf>
    <xf numFmtId="3" fontId="3" fillId="2" borderId="7" xfId="0" applyNumberFormat="1" applyFont="1" applyFill="1" applyBorder="1" applyAlignment="1" applyProtection="1">
      <alignment horizontal="center" vertical="center"/>
      <protection locked="0"/>
    </xf>
    <xf numFmtId="2" fontId="3" fillId="2" borderId="8" xfId="0" applyNumberFormat="1" applyFont="1" applyFill="1" applyBorder="1" applyAlignment="1" applyProtection="1">
      <alignment horizontal="center" vertical="center"/>
      <protection locked="0"/>
    </xf>
    <xf numFmtId="7" fontId="3" fillId="2" borderId="8" xfId="0" applyNumberFormat="1" applyFont="1" applyFill="1" applyBorder="1" applyAlignment="1" applyProtection="1">
      <alignment horizontal="right" vertical="center"/>
      <protection locked="0"/>
    </xf>
    <xf numFmtId="0" fontId="3" fillId="5" borderId="0" xfId="0" applyFont="1" applyFill="1" applyAlignment="1" applyProtection="1">
      <alignment horizontal="right" vertical="center"/>
      <protection locked="0"/>
    </xf>
    <xf numFmtId="7" fontId="3" fillId="2" borderId="0" xfId="0" applyNumberFormat="1" applyFont="1" applyFill="1" applyAlignment="1" applyProtection="1">
      <alignment horizontal="right" vertical="center"/>
      <protection locked="0"/>
    </xf>
    <xf numFmtId="3" fontId="3" fillId="0" borderId="0" xfId="0" applyNumberFormat="1"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2" fontId="3" fillId="2" borderId="0" xfId="0" applyNumberFormat="1" applyFont="1" applyFill="1" applyAlignment="1" applyProtection="1">
      <alignment horizontal="center" vertical="center"/>
      <protection locked="0"/>
    </xf>
    <xf numFmtId="3" fontId="3" fillId="0" borderId="0" xfId="0" applyNumberFormat="1" applyFont="1" applyAlignment="1" applyProtection="1">
      <alignment vertical="center"/>
      <protection locked="0"/>
    </xf>
    <xf numFmtId="2" fontId="3" fillId="0" borderId="0" xfId="0" applyNumberFormat="1" applyFont="1" applyAlignment="1" applyProtection="1">
      <alignment horizontal="right" vertical="center"/>
      <protection locked="0"/>
    </xf>
    <xf numFmtId="3" fontId="3" fillId="2" borderId="0" xfId="0" applyNumberFormat="1" applyFont="1" applyFill="1" applyAlignment="1" applyProtection="1">
      <alignment horizontal="center" vertical="center"/>
      <protection locked="0"/>
    </xf>
    <xf numFmtId="1" fontId="3" fillId="0" borderId="0" xfId="0" applyNumberFormat="1" applyFont="1" applyAlignment="1" applyProtection="1">
      <alignment horizontal="right" vertical="center"/>
      <protection locked="0"/>
    </xf>
    <xf numFmtId="0" fontId="3" fillId="2" borderId="7" xfId="0" applyFont="1" applyFill="1" applyBorder="1" applyAlignment="1" applyProtection="1">
      <alignment horizontal="left" vertical="center"/>
      <protection locked="0"/>
    </xf>
    <xf numFmtId="3" fontId="3" fillId="2" borderId="0" xfId="0" applyNumberFormat="1" applyFont="1" applyFill="1" applyAlignment="1" applyProtection="1">
      <alignment horizontal="right" vertical="center"/>
      <protection locked="0"/>
    </xf>
    <xf numFmtId="0" fontId="0" fillId="2" borderId="7" xfId="0" applyFill="1" applyBorder="1" applyAlignment="1" applyProtection="1">
      <alignment horizontal="left" vertical="center"/>
      <protection locked="0"/>
    </xf>
    <xf numFmtId="3" fontId="3" fillId="0" borderId="0" xfId="0" applyNumberFormat="1" applyFont="1" applyAlignment="1" applyProtection="1">
      <alignment horizontal="right" vertical="center"/>
      <protection locked="0"/>
    </xf>
    <xf numFmtId="0" fontId="3" fillId="5" borderId="7" xfId="0" applyFont="1" applyFill="1" applyBorder="1" applyAlignment="1" applyProtection="1">
      <alignment horizontal="right" vertical="center"/>
      <protection locked="0"/>
    </xf>
    <xf numFmtId="0" fontId="8" fillId="0" borderId="0" xfId="0" applyFont="1" applyAlignment="1" applyProtection="1">
      <alignment vertical="center"/>
      <protection locked="0"/>
    </xf>
    <xf numFmtId="0" fontId="9" fillId="0" borderId="0" xfId="0" applyFont="1" applyAlignment="1" applyProtection="1">
      <alignment horizontal="right" vertical="center"/>
      <protection locked="0"/>
    </xf>
    <xf numFmtId="165" fontId="9" fillId="0" borderId="0" xfId="0" applyNumberFormat="1" applyFont="1" applyAlignment="1" applyProtection="1">
      <alignment vertical="center"/>
      <protection locked="0"/>
    </xf>
    <xf numFmtId="0" fontId="2" fillId="0" borderId="1" xfId="0" applyFont="1" applyBorder="1" applyAlignment="1" applyProtection="1">
      <alignment horizontal="center" vertical="center" wrapText="1"/>
      <protection locked="0"/>
    </xf>
    <xf numFmtId="2" fontId="3" fillId="2" borderId="7" xfId="0" applyNumberFormat="1" applyFont="1" applyFill="1" applyBorder="1" applyAlignment="1" applyProtection="1">
      <alignment horizontal="center" vertical="center"/>
      <protection locked="0"/>
    </xf>
    <xf numFmtId="0" fontId="3" fillId="6" borderId="0" xfId="1" applyNumberFormat="1" applyFont="1" applyFill="1" applyBorder="1" applyAlignment="1" applyProtection="1">
      <alignment horizontal="right" vertical="center"/>
    </xf>
    <xf numFmtId="165" fontId="3" fillId="5" borderId="7" xfId="1" applyNumberFormat="1" applyFont="1" applyFill="1" applyBorder="1" applyAlignment="1" applyProtection="1">
      <alignment vertical="center"/>
      <protection locked="0"/>
    </xf>
    <xf numFmtId="165" fontId="3" fillId="2" borderId="0" xfId="1" applyNumberFormat="1" applyFont="1" applyFill="1" applyBorder="1" applyAlignment="1" applyProtection="1">
      <alignment horizontal="right" vertical="center"/>
      <protection locked="0"/>
    </xf>
    <xf numFmtId="165" fontId="3" fillId="6" borderId="0" xfId="1" applyNumberFormat="1" applyFont="1" applyFill="1" applyBorder="1" applyAlignment="1" applyProtection="1">
      <alignment vertical="center"/>
    </xf>
    <xf numFmtId="2" fontId="3" fillId="0" borderId="0" xfId="0" applyNumberFormat="1" applyFont="1" applyAlignment="1">
      <alignment vertical="center"/>
    </xf>
    <xf numFmtId="165" fontId="3" fillId="0" borderId="0" xfId="1" applyNumberFormat="1" applyFont="1" applyFill="1" applyBorder="1" applyAlignment="1" applyProtection="1">
      <alignment vertical="center"/>
    </xf>
    <xf numFmtId="44" fontId="3" fillId="0" borderId="0" xfId="1" applyFont="1" applyFill="1" applyBorder="1" applyAlignment="1" applyProtection="1">
      <alignment vertical="center"/>
      <protection locked="0"/>
    </xf>
    <xf numFmtId="0" fontId="3" fillId="0" borderId="0" xfId="0" applyFont="1" applyAlignment="1">
      <alignment vertical="center"/>
    </xf>
    <xf numFmtId="4" fontId="3" fillId="2" borderId="7" xfId="0" applyNumberFormat="1" applyFont="1" applyFill="1" applyBorder="1" applyAlignment="1" applyProtection="1">
      <alignment horizontal="center" vertical="center"/>
      <protection locked="0"/>
    </xf>
    <xf numFmtId="165" fontId="3" fillId="5" borderId="0" xfId="1" applyNumberFormat="1" applyFont="1" applyFill="1" applyBorder="1" applyAlignment="1" applyProtection="1">
      <alignment horizontal="right" vertical="center"/>
      <protection locked="0"/>
    </xf>
    <xf numFmtId="0" fontId="11" fillId="0" borderId="0" xfId="0" applyFont="1" applyAlignment="1" applyProtection="1">
      <alignment horizontal="right" vertical="center"/>
      <protection locked="0"/>
    </xf>
    <xf numFmtId="2" fontId="3" fillId="0" borderId="0" xfId="0" applyNumberFormat="1" applyFont="1" applyAlignment="1" applyProtection="1">
      <alignment vertical="center"/>
      <protection locked="0"/>
    </xf>
    <xf numFmtId="1" fontId="3" fillId="2" borderId="8" xfId="0" applyNumberFormat="1" applyFont="1"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1" fontId="3" fillId="2" borderId="8" xfId="0" applyNumberFormat="1" applyFont="1" applyFill="1" applyBorder="1" applyAlignment="1" applyProtection="1">
      <alignment horizontal="right" vertical="center"/>
      <protection locked="0"/>
    </xf>
    <xf numFmtId="165" fontId="3" fillId="2" borderId="0" xfId="0" applyNumberFormat="1" applyFont="1" applyFill="1" applyAlignment="1" applyProtection="1">
      <alignment horizontal="right" vertical="center"/>
      <protection locked="0"/>
    </xf>
    <xf numFmtId="5" fontId="3" fillId="2" borderId="0" xfId="0" applyNumberFormat="1" applyFont="1" applyFill="1" applyAlignment="1" applyProtection="1">
      <alignment horizontal="center" vertical="center"/>
      <protection locked="0"/>
    </xf>
    <xf numFmtId="0" fontId="3" fillId="0" borderId="1" xfId="0" applyFont="1" applyBorder="1" applyAlignment="1" applyProtection="1">
      <alignment vertical="center"/>
      <protection locked="0"/>
    </xf>
    <xf numFmtId="0" fontId="10" fillId="0" borderId="0" xfId="0" applyFont="1" applyAlignment="1" applyProtection="1">
      <alignment vertical="center"/>
      <protection locked="0"/>
    </xf>
    <xf numFmtId="0" fontId="0" fillId="0" borderId="0" xfId="0" applyAlignment="1">
      <alignment vertical="center"/>
    </xf>
    <xf numFmtId="44" fontId="0" fillId="5" borderId="1" xfId="1" applyFont="1" applyFill="1" applyBorder="1" applyAlignment="1">
      <alignment vertical="center"/>
    </xf>
    <xf numFmtId="44" fontId="3" fillId="5" borderId="5" xfId="1" applyFont="1" applyFill="1" applyBorder="1" applyAlignment="1" applyProtection="1">
      <alignment vertical="center"/>
      <protection locked="0"/>
    </xf>
    <xf numFmtId="44" fontId="0" fillId="0" borderId="0" xfId="1" applyFont="1" applyFill="1"/>
    <xf numFmtId="0" fontId="2" fillId="0" borderId="0" xfId="0" applyFont="1" applyAlignment="1" applyProtection="1">
      <alignment vertical="center"/>
      <protection locked="0"/>
    </xf>
    <xf numFmtId="9" fontId="12" fillId="5" borderId="0" xfId="2" applyFont="1" applyFill="1" applyBorder="1" applyAlignment="1" applyProtection="1">
      <alignment horizontal="right" vertical="center"/>
      <protection locked="0"/>
    </xf>
    <xf numFmtId="165" fontId="3" fillId="0" borderId="0" xfId="1" applyNumberFormat="1" applyFont="1" applyFill="1" applyBorder="1" applyAlignment="1" applyProtection="1">
      <alignment vertical="center"/>
      <protection locked="0"/>
    </xf>
    <xf numFmtId="44" fontId="3" fillId="5" borderId="1" xfId="1" applyFont="1" applyFill="1" applyBorder="1" applyAlignment="1" applyProtection="1">
      <alignment vertical="center"/>
      <protection locked="0"/>
    </xf>
    <xf numFmtId="0" fontId="2" fillId="0" borderId="0" xfId="0" applyFont="1" applyAlignment="1" applyProtection="1">
      <alignment horizontal="center" vertical="center"/>
      <protection locked="0"/>
    </xf>
    <xf numFmtId="0" fontId="13" fillId="0" borderId="0" xfId="0" applyFont="1"/>
    <xf numFmtId="0" fontId="3" fillId="0" borderId="0" xfId="0" applyFont="1"/>
    <xf numFmtId="0" fontId="13" fillId="0" borderId="0" xfId="0" applyFont="1" applyAlignment="1">
      <alignment horizontal="center"/>
    </xf>
    <xf numFmtId="0" fontId="2" fillId="0" borderId="0" xfId="0" applyFont="1" applyAlignment="1">
      <alignment horizontal="center"/>
    </xf>
    <xf numFmtId="44" fontId="0" fillId="0" borderId="0" xfId="0" applyNumberFormat="1"/>
    <xf numFmtId="0" fontId="0" fillId="0" borderId="0" xfId="0" applyAlignment="1">
      <alignment horizontal="right"/>
    </xf>
    <xf numFmtId="0" fontId="3" fillId="6" borderId="0" xfId="1" applyNumberFormat="1" applyFont="1" applyFill="1" applyBorder="1" applyAlignment="1" applyProtection="1">
      <alignment horizontal="center" vertical="center"/>
    </xf>
    <xf numFmtId="7" fontId="3" fillId="2" borderId="0" xfId="0" applyNumberFormat="1" applyFont="1" applyFill="1" applyAlignment="1" applyProtection="1">
      <alignment horizontal="center" vertical="center"/>
      <protection locked="0"/>
    </xf>
    <xf numFmtId="44" fontId="3" fillId="0" borderId="0" xfId="0" applyNumberFormat="1" applyFont="1" applyAlignment="1" applyProtection="1">
      <alignment horizontal="center" vertical="center"/>
      <protection locked="0"/>
    </xf>
    <xf numFmtId="1" fontId="3" fillId="6" borderId="0" xfId="0" applyNumberFormat="1" applyFont="1" applyFill="1" applyAlignment="1" applyProtection="1">
      <alignment horizontal="right" vertical="center"/>
      <protection locked="0"/>
    </xf>
    <xf numFmtId="0" fontId="0" fillId="5" borderId="9" xfId="0" applyFill="1" applyBorder="1"/>
    <xf numFmtId="0" fontId="0" fillId="5" borderId="0" xfId="0" applyFill="1"/>
    <xf numFmtId="0" fontId="2" fillId="0" borderId="0" xfId="0" applyFont="1"/>
    <xf numFmtId="0" fontId="3" fillId="5" borderId="9" xfId="0" applyFont="1" applyFill="1" applyBorder="1" applyAlignment="1" applyProtection="1">
      <alignment horizontal="right" vertical="center"/>
      <protection locked="0"/>
    </xf>
    <xf numFmtId="165" fontId="2" fillId="0" borderId="0" xfId="0" applyNumberFormat="1" applyFont="1" applyAlignment="1">
      <alignment horizontal="center"/>
    </xf>
    <xf numFmtId="165" fontId="0" fillId="9" borderId="0" xfId="0" applyNumberFormat="1" applyFill="1"/>
    <xf numFmtId="0" fontId="3" fillId="5" borderId="7" xfId="0" applyFont="1" applyFill="1" applyBorder="1" applyAlignment="1" applyProtection="1">
      <alignment vertical="center"/>
      <protection locked="0"/>
    </xf>
    <xf numFmtId="2" fontId="3" fillId="5" borderId="9" xfId="0" applyNumberFormat="1" applyFont="1" applyFill="1" applyBorder="1" applyAlignment="1" applyProtection="1">
      <alignment horizontal="center" vertical="center"/>
      <protection locked="0"/>
    </xf>
    <xf numFmtId="8" fontId="0" fillId="9" borderId="0" xfId="0" applyNumberFormat="1" applyFill="1"/>
    <xf numFmtId="0" fontId="3" fillId="5" borderId="0" xfId="0" applyFont="1" applyFill="1" applyAlignment="1">
      <alignment horizontal="right"/>
    </xf>
    <xf numFmtId="3" fontId="3" fillId="2" borderId="9" xfId="0" applyNumberFormat="1" applyFont="1" applyFill="1" applyBorder="1" applyAlignment="1" applyProtection="1">
      <alignment horizontal="center" vertical="center"/>
      <protection locked="0"/>
    </xf>
    <xf numFmtId="0" fontId="3" fillId="6" borderId="0" xfId="0" applyFont="1" applyFill="1" applyAlignment="1" applyProtection="1">
      <alignment horizontal="left" vertical="center"/>
      <protection locked="0"/>
    </xf>
    <xf numFmtId="0" fontId="2" fillId="0" borderId="0" xfId="0" applyFont="1" applyAlignment="1" applyProtection="1">
      <alignment horizontal="right" vertical="center"/>
      <protection locked="0"/>
    </xf>
    <xf numFmtId="0" fontId="0" fillId="0" borderId="0" xfId="0" applyProtection="1">
      <protection locked="0"/>
    </xf>
    <xf numFmtId="2" fontId="3" fillId="0" borderId="0" xfId="0" applyNumberFormat="1" applyFont="1" applyAlignment="1">
      <alignment horizontal="right" vertical="center"/>
    </xf>
    <xf numFmtId="2" fontId="3" fillId="2" borderId="9" xfId="0" applyNumberFormat="1" applyFont="1" applyFill="1" applyBorder="1" applyAlignment="1" applyProtection="1">
      <alignment horizontal="center" vertical="center"/>
      <protection locked="0"/>
    </xf>
    <xf numFmtId="165" fontId="0" fillId="6" borderId="0" xfId="0" applyNumberFormat="1" applyFill="1"/>
    <xf numFmtId="3" fontId="0" fillId="2" borderId="0" xfId="0" applyNumberFormat="1" applyFill="1" applyAlignment="1" applyProtection="1">
      <alignment horizontal="center" vertical="center"/>
      <protection locked="0"/>
    </xf>
    <xf numFmtId="4" fontId="3" fillId="2" borderId="0" xfId="0" applyNumberFormat="1" applyFont="1" applyFill="1" applyAlignment="1" applyProtection="1">
      <alignment horizontal="center" vertical="center"/>
      <protection locked="0"/>
    </xf>
    <xf numFmtId="1" fontId="3" fillId="2" borderId="0" xfId="0" applyNumberFormat="1" applyFont="1" applyFill="1" applyAlignment="1" applyProtection="1">
      <alignment horizontal="center" vertical="center"/>
      <protection locked="0"/>
    </xf>
    <xf numFmtId="165" fontId="3" fillId="2" borderId="9" xfId="0" applyNumberFormat="1" applyFont="1" applyFill="1" applyBorder="1" applyAlignment="1" applyProtection="1">
      <alignment horizontal="center" vertical="center"/>
      <protection locked="0"/>
    </xf>
    <xf numFmtId="165" fontId="3" fillId="5" borderId="0" xfId="0" applyNumberFormat="1" applyFont="1" applyFill="1" applyAlignment="1" applyProtection="1">
      <alignment horizontal="right" vertical="center"/>
      <protection locked="0"/>
    </xf>
    <xf numFmtId="165" fontId="3" fillId="5" borderId="0" xfId="0" applyNumberFormat="1" applyFont="1" applyFill="1" applyAlignment="1" applyProtection="1">
      <alignment vertical="center"/>
      <protection locked="0"/>
    </xf>
    <xf numFmtId="2" fontId="3" fillId="5" borderId="8" xfId="0" applyNumberFormat="1" applyFont="1" applyFill="1" applyBorder="1" applyAlignment="1" applyProtection="1">
      <alignment horizontal="center" vertical="center"/>
      <protection locked="0"/>
    </xf>
    <xf numFmtId="166" fontId="3" fillId="0" borderId="0" xfId="0" applyNumberFormat="1" applyFont="1" applyAlignment="1" applyProtection="1">
      <alignment horizontal="right"/>
      <protection locked="0"/>
    </xf>
    <xf numFmtId="3" fontId="3" fillId="5" borderId="0" xfId="3" applyNumberFormat="1" applyFont="1" applyFill="1" applyBorder="1" applyAlignment="1" applyProtection="1">
      <alignment horizontal="center" vertical="center"/>
      <protection locked="0"/>
    </xf>
    <xf numFmtId="3" fontId="3" fillId="0" borderId="0" xfId="3" applyNumberFormat="1" applyFont="1" applyFill="1" applyBorder="1" applyAlignment="1" applyProtection="1">
      <alignment horizontal="center" vertical="center"/>
      <protection locked="0"/>
    </xf>
    <xf numFmtId="165" fontId="3" fillId="5" borderId="9" xfId="0" applyNumberFormat="1" applyFont="1" applyFill="1" applyBorder="1" applyAlignment="1" applyProtection="1">
      <alignment vertical="center"/>
      <protection locked="0"/>
    </xf>
    <xf numFmtId="165" fontId="3" fillId="5" borderId="0" xfId="0" applyNumberFormat="1" applyFont="1" applyFill="1" applyAlignment="1" applyProtection="1">
      <alignment horizontal="center" vertical="center"/>
      <protection locked="0"/>
    </xf>
    <xf numFmtId="0" fontId="0" fillId="0" borderId="0" xfId="0" applyAlignment="1" applyProtection="1">
      <alignment horizontal="center" vertical="center"/>
      <protection locked="0"/>
    </xf>
    <xf numFmtId="165" fontId="3" fillId="0" borderId="0" xfId="1" applyNumberFormat="1" applyFont="1" applyFill="1" applyBorder="1" applyAlignment="1" applyProtection="1">
      <alignment horizontal="right" vertical="center"/>
      <protection locked="0"/>
    </xf>
    <xf numFmtId="44" fontId="15" fillId="0" borderId="0" xfId="1" applyFont="1" applyFill="1" applyBorder="1" applyAlignment="1" applyProtection="1">
      <alignment horizontal="right" vertical="center"/>
      <protection locked="0"/>
    </xf>
    <xf numFmtId="44" fontId="16" fillId="0" borderId="0" xfId="1" applyFont="1" applyFill="1" applyBorder="1" applyAlignment="1" applyProtection="1">
      <alignment horizontal="right" vertical="center"/>
      <protection locked="0"/>
    </xf>
    <xf numFmtId="3" fontId="2" fillId="0" borderId="0" xfId="3" applyNumberFormat="1" applyFont="1" applyFill="1" applyBorder="1" applyAlignment="1" applyProtection="1">
      <alignment horizontal="center" vertical="center"/>
      <protection locked="0"/>
    </xf>
    <xf numFmtId="2" fontId="2" fillId="0" borderId="0" xfId="0" applyNumberFormat="1" applyFont="1" applyAlignment="1" applyProtection="1">
      <alignment horizontal="center" vertical="center"/>
      <protection locked="0"/>
    </xf>
    <xf numFmtId="1" fontId="3" fillId="5" borderId="8" xfId="0" applyNumberFormat="1" applyFont="1" applyFill="1" applyBorder="1" applyAlignment="1" applyProtection="1">
      <alignment horizontal="center" vertical="center"/>
      <protection locked="0"/>
    </xf>
    <xf numFmtId="165" fontId="3" fillId="5" borderId="8" xfId="0" applyNumberFormat="1" applyFont="1" applyFill="1" applyBorder="1" applyAlignment="1" applyProtection="1">
      <alignment horizontal="center" vertical="center"/>
      <protection locked="0"/>
    </xf>
    <xf numFmtId="0" fontId="3" fillId="5" borderId="0" xfId="0" applyFont="1" applyFill="1" applyAlignment="1" applyProtection="1">
      <alignment horizontal="left" vertical="center"/>
      <protection locked="0"/>
    </xf>
    <xf numFmtId="7" fontId="3" fillId="5" borderId="0" xfId="0" applyNumberFormat="1" applyFont="1" applyFill="1" applyAlignment="1" applyProtection="1">
      <alignment horizontal="right" vertical="center"/>
      <protection locked="0"/>
    </xf>
    <xf numFmtId="1" fontId="3" fillId="5" borderId="0" xfId="0" applyNumberFormat="1" applyFont="1" applyFill="1" applyAlignment="1" applyProtection="1">
      <alignment horizontal="right" vertical="center"/>
      <protection locked="0"/>
    </xf>
    <xf numFmtId="2" fontId="3" fillId="0" borderId="0" xfId="0" applyNumberFormat="1" applyFont="1" applyAlignment="1" applyProtection="1">
      <alignment horizontal="right"/>
      <protection locked="0"/>
    </xf>
    <xf numFmtId="44" fontId="0" fillId="5" borderId="0" xfId="1" applyFont="1" applyFill="1" applyBorder="1" applyAlignment="1">
      <alignment vertical="center"/>
    </xf>
    <xf numFmtId="166" fontId="3" fillId="5" borderId="0" xfId="0" applyNumberFormat="1" applyFont="1" applyFill="1" applyAlignment="1" applyProtection="1">
      <alignment horizontal="right" vertical="center"/>
      <protection locked="0"/>
    </xf>
    <xf numFmtId="0" fontId="0" fillId="5" borderId="0" xfId="0" applyFill="1" applyAlignment="1">
      <alignment horizontal="center"/>
    </xf>
    <xf numFmtId="166" fontId="0" fillId="5" borderId="0" xfId="0" applyNumberFormat="1" applyFill="1" applyAlignment="1">
      <alignment horizontal="center"/>
    </xf>
    <xf numFmtId="166" fontId="0" fillId="0" borderId="0" xfId="0" applyNumberFormat="1" applyAlignment="1">
      <alignment horizontal="center"/>
    </xf>
    <xf numFmtId="165" fontId="0" fillId="5" borderId="0" xfId="0" applyNumberFormat="1" applyFill="1" applyAlignment="1">
      <alignment horizontal="center"/>
    </xf>
    <xf numFmtId="44" fontId="17" fillId="0" borderId="0" xfId="1" applyFont="1"/>
    <xf numFmtId="49" fontId="18" fillId="2" borderId="0" xfId="4" applyNumberFormat="1" applyFill="1" applyAlignment="1" applyProtection="1">
      <alignment horizontal="left" vertical="center"/>
      <protection locked="0"/>
    </xf>
    <xf numFmtId="6" fontId="3" fillId="0" borderId="0" xfId="0" applyNumberFormat="1" applyFont="1" applyAlignment="1" applyProtection="1">
      <alignment vertical="center"/>
      <protection locked="0"/>
    </xf>
    <xf numFmtId="8" fontId="3" fillId="0" borderId="0" xfId="0" applyNumberFormat="1" applyFont="1" applyAlignment="1" applyProtection="1">
      <alignment vertical="center"/>
      <protection locked="0"/>
    </xf>
    <xf numFmtId="0" fontId="2" fillId="0" borderId="1" xfId="0" applyFont="1" applyBorder="1" applyAlignment="1" applyProtection="1">
      <alignment horizontal="center" vertical="center"/>
      <protection locked="0"/>
    </xf>
    <xf numFmtId="2" fontId="3" fillId="5" borderId="0" xfId="0" applyNumberFormat="1" applyFont="1" applyFill="1" applyAlignment="1" applyProtection="1">
      <alignment horizontal="center" vertical="center"/>
      <protection locked="0"/>
    </xf>
    <xf numFmtId="9" fontId="2" fillId="0" borderId="0" xfId="0" applyNumberFormat="1" applyFont="1" applyAlignment="1" applyProtection="1">
      <alignment horizontal="right" vertical="center"/>
      <protection locked="0"/>
    </xf>
    <xf numFmtId="0" fontId="9" fillId="0" borderId="0" xfId="0" applyFont="1" applyAlignment="1" applyProtection="1">
      <alignment horizontal="centerContinuous" vertical="center"/>
      <protection locked="0"/>
    </xf>
    <xf numFmtId="0" fontId="9" fillId="0" borderId="0" xfId="0" applyFont="1" applyAlignment="1" applyProtection="1">
      <alignment vertical="center"/>
      <protection locked="0"/>
    </xf>
    <xf numFmtId="4" fontId="9" fillId="0" borderId="0" xfId="0" applyNumberFormat="1" applyFont="1" applyAlignment="1" applyProtection="1">
      <alignment vertical="center"/>
      <protection locked="0"/>
    </xf>
    <xf numFmtId="0" fontId="2" fillId="0" borderId="1" xfId="0" applyFont="1" applyBorder="1" applyAlignment="1" applyProtection="1">
      <alignment vertical="center"/>
      <protection locked="0"/>
    </xf>
    <xf numFmtId="165" fontId="3" fillId="0" borderId="0" xfId="0" applyNumberFormat="1" applyFont="1" applyAlignment="1" applyProtection="1">
      <alignment vertical="center"/>
      <protection locked="0"/>
    </xf>
    <xf numFmtId="0" fontId="2" fillId="7" borderId="2" xfId="0" applyFont="1" applyFill="1" applyBorder="1" applyAlignment="1">
      <alignment horizontal="center" wrapText="1"/>
    </xf>
    <xf numFmtId="0" fontId="2" fillId="7" borderId="3" xfId="0" applyFont="1" applyFill="1" applyBorder="1" applyAlignment="1">
      <alignment horizontal="center" wrapText="1"/>
    </xf>
    <xf numFmtId="0" fontId="2" fillId="0" borderId="0" xfId="0" applyFont="1" applyAlignment="1">
      <alignment horizontal="center" wrapText="1"/>
    </xf>
    <xf numFmtId="0" fontId="2" fillId="7" borderId="2" xfId="0" applyFont="1" applyFill="1" applyBorder="1" applyAlignment="1">
      <alignment horizontal="center"/>
    </xf>
    <xf numFmtId="0" fontId="2" fillId="7" borderId="2" xfId="0" applyFont="1" applyFill="1" applyBorder="1"/>
    <xf numFmtId="164" fontId="2" fillId="7" borderId="2" xfId="0" applyNumberFormat="1" applyFont="1" applyFill="1" applyBorder="1"/>
    <xf numFmtId="0" fontId="2" fillId="2" borderId="0" xfId="0" applyFont="1" applyFill="1"/>
    <xf numFmtId="0" fontId="3" fillId="0" borderId="0" xfId="0" applyFont="1" applyAlignment="1">
      <alignment horizontal="right"/>
    </xf>
    <xf numFmtId="165" fontId="3" fillId="0" borderId="0" xfId="0" applyNumberFormat="1" applyFont="1" applyAlignment="1">
      <alignment horizontal="right"/>
    </xf>
    <xf numFmtId="0" fontId="2" fillId="10" borderId="2" xfId="0" applyFont="1" applyFill="1" applyBorder="1"/>
    <xf numFmtId="0" fontId="0" fillId="10" borderId="9" xfId="0" applyFill="1" applyBorder="1"/>
    <xf numFmtId="0" fontId="0" fillId="0" borderId="7" xfId="0" applyBorder="1"/>
    <xf numFmtId="0" fontId="2" fillId="10" borderId="11" xfId="0" applyFont="1" applyFill="1" applyBorder="1"/>
    <xf numFmtId="0" fontId="0" fillId="0" borderId="10" xfId="0" applyBorder="1"/>
    <xf numFmtId="0" fontId="0" fillId="0" borderId="12" xfId="0" applyBorder="1"/>
    <xf numFmtId="0" fontId="0" fillId="10" borderId="13" xfId="0" applyFill="1" applyBorder="1"/>
    <xf numFmtId="0" fontId="0" fillId="0" borderId="1" xfId="0" applyBorder="1"/>
    <xf numFmtId="0" fontId="0" fillId="0" borderId="14" xfId="0" applyBorder="1"/>
    <xf numFmtId="3" fontId="0" fillId="0" borderId="2" xfId="0" applyNumberFormat="1" applyBorder="1"/>
    <xf numFmtId="2" fontId="0" fillId="0" borderId="2" xfId="0" applyNumberFormat="1" applyBorder="1"/>
    <xf numFmtId="8" fontId="2" fillId="0" borderId="0" xfId="0" applyNumberFormat="1" applyFont="1" applyAlignment="1" applyProtection="1">
      <alignment vertical="center"/>
      <protection locked="0"/>
    </xf>
    <xf numFmtId="0" fontId="20" fillId="0" borderId="0" xfId="0" applyFont="1"/>
    <xf numFmtId="0" fontId="21" fillId="0" borderId="0" xfId="0" applyFont="1" applyAlignment="1" applyProtection="1">
      <alignment horizontal="center"/>
      <protection locked="0"/>
    </xf>
    <xf numFmtId="0" fontId="21" fillId="0" borderId="0" xfId="0" applyFont="1" applyAlignment="1">
      <alignment horizontal="center"/>
    </xf>
    <xf numFmtId="0" fontId="20" fillId="0" borderId="0" xfId="0" applyFont="1" applyAlignment="1" applyProtection="1">
      <alignment horizontal="left"/>
      <protection locked="0"/>
    </xf>
    <xf numFmtId="0" fontId="20" fillId="0" borderId="0" xfId="0" applyFont="1" applyAlignment="1">
      <alignment horizontal="left"/>
    </xf>
    <xf numFmtId="2" fontId="20" fillId="0" borderId="0" xfId="0" applyNumberFormat="1" applyFont="1" applyAlignment="1" applyProtection="1">
      <alignment horizontal="left"/>
      <protection locked="0"/>
    </xf>
    <xf numFmtId="0" fontId="20" fillId="0" borderId="0" xfId="0" applyFont="1" applyAlignment="1" applyProtection="1">
      <alignment horizontal="right"/>
      <protection locked="0"/>
    </xf>
    <xf numFmtId="0" fontId="20" fillId="0" borderId="0" xfId="0" applyFont="1" applyProtection="1">
      <protection locked="0"/>
    </xf>
    <xf numFmtId="1" fontId="20" fillId="0" borderId="0" xfId="0" applyNumberFormat="1" applyFont="1" applyAlignment="1">
      <alignment horizontal="right"/>
    </xf>
    <xf numFmtId="2" fontId="20" fillId="0" borderId="0" xfId="0" applyNumberFormat="1" applyFont="1" applyAlignment="1">
      <alignment horizontal="right"/>
    </xf>
    <xf numFmtId="0" fontId="22" fillId="0" borderId="0" xfId="0" applyFont="1" applyAlignment="1" applyProtection="1">
      <alignment horizontal="left"/>
      <protection locked="0"/>
    </xf>
    <xf numFmtId="165" fontId="20" fillId="0" borderId="0" xfId="0" applyNumberFormat="1" applyFont="1" applyProtection="1">
      <protection locked="0"/>
    </xf>
    <xf numFmtId="1" fontId="20" fillId="0" borderId="0" xfId="0" applyNumberFormat="1" applyFont="1" applyProtection="1">
      <protection locked="0"/>
    </xf>
    <xf numFmtId="2" fontId="20" fillId="0" borderId="0" xfId="0" applyNumberFormat="1" applyFont="1" applyProtection="1">
      <protection locked="0"/>
    </xf>
    <xf numFmtId="1" fontId="20" fillId="0" borderId="0" xfId="0" applyNumberFormat="1" applyFont="1" applyAlignment="1" applyProtection="1">
      <alignment horizontal="right"/>
      <protection locked="0"/>
    </xf>
    <xf numFmtId="2" fontId="20" fillId="0" borderId="0" xfId="0" applyNumberFormat="1" applyFont="1" applyAlignment="1" applyProtection="1">
      <alignment horizontal="right"/>
      <protection locked="0"/>
    </xf>
    <xf numFmtId="0" fontId="21" fillId="0" borderId="0" xfId="0" applyFont="1"/>
    <xf numFmtId="10" fontId="20" fillId="0" borderId="0" xfId="0" applyNumberFormat="1" applyFont="1" applyProtection="1">
      <protection locked="0"/>
    </xf>
    <xf numFmtId="165" fontId="20" fillId="0" borderId="0" xfId="0" applyNumberFormat="1" applyFont="1"/>
    <xf numFmtId="4" fontId="20" fillId="0" borderId="0" xfId="0" applyNumberFormat="1" applyFont="1" applyProtection="1">
      <protection locked="0"/>
    </xf>
    <xf numFmtId="3" fontId="20" fillId="0" borderId="0" xfId="0" applyNumberFormat="1" applyFont="1" applyProtection="1">
      <protection locked="0"/>
    </xf>
    <xf numFmtId="0" fontId="0" fillId="0" borderId="0" xfId="0">
      <extLst>
        <ext xmlns:xfpb="http://schemas.microsoft.com/office/spreadsheetml/2022/featurepropertybag" uri="{C7286773-470A-42A8-94C5-96B5CB345126}">
          <xfpb:xfComplement i="0"/>
        </ext>
      </extLst>
    </xf>
    <xf numFmtId="44" fontId="0" fillId="0" borderId="0" xfId="1" applyFont="1"/>
    <xf numFmtId="0" fontId="24" fillId="0" borderId="5" xfId="0" applyFont="1" applyBorder="1"/>
    <xf numFmtId="0" fontId="24" fillId="0" borderId="27" xfId="0" applyFont="1" applyBorder="1"/>
    <xf numFmtId="0" fontId="23" fillId="0" borderId="0" xfId="0" applyFont="1"/>
    <xf numFmtId="0" fontId="23" fillId="0" borderId="0" xfId="0" applyFont="1" applyAlignment="1">
      <alignment vertical="top" wrapText="1"/>
    </xf>
    <xf numFmtId="0" fontId="27" fillId="0" borderId="0" xfId="0" applyFont="1" applyAlignment="1">
      <alignment horizontal="left" vertical="top" wrapText="1"/>
    </xf>
    <xf numFmtId="0" fontId="1" fillId="0" borderId="0" xfId="0" applyFont="1"/>
    <xf numFmtId="0" fontId="0" fillId="0" borderId="32" xfId="0" applyBorder="1"/>
    <xf numFmtId="0" fontId="2" fillId="10" borderId="4" xfId="0" applyFont="1" applyFill="1" applyBorder="1"/>
    <xf numFmtId="0" fontId="2" fillId="10" borderId="4" xfId="0" applyFont="1" applyFill="1" applyBorder="1" applyAlignment="1">
      <alignment wrapText="1"/>
    </xf>
    <xf numFmtId="3" fontId="0" fillId="0" borderId="6" xfId="0" applyNumberFormat="1" applyBorder="1"/>
    <xf numFmtId="0" fontId="2" fillId="10" borderId="3" xfId="0" applyFont="1" applyFill="1" applyBorder="1"/>
    <xf numFmtId="0" fontId="0" fillId="0" borderId="33" xfId="0" applyBorder="1"/>
    <xf numFmtId="3" fontId="0" fillId="0" borderId="12" xfId="0" applyNumberFormat="1" applyBorder="1"/>
    <xf numFmtId="3" fontId="0" fillId="0" borderId="3" xfId="0" applyNumberFormat="1" applyBorder="1"/>
    <xf numFmtId="2" fontId="0" fillId="0" borderId="3" xfId="0" applyNumberFormat="1" applyBorder="1"/>
    <xf numFmtId="0" fontId="0" fillId="0" borderId="3" xfId="0" applyBorder="1"/>
    <xf numFmtId="0" fontId="0" fillId="0" borderId="34" xfId="0" applyBorder="1"/>
    <xf numFmtId="3" fontId="0" fillId="0" borderId="14" xfId="0" applyNumberFormat="1" applyBorder="1"/>
    <xf numFmtId="3" fontId="0" fillId="0" borderId="25" xfId="0" applyNumberFormat="1" applyBorder="1"/>
    <xf numFmtId="2" fontId="0" fillId="0" borderId="25" xfId="0" applyNumberFormat="1" applyBorder="1"/>
    <xf numFmtId="0" fontId="0" fillId="0" borderId="25" xfId="0" applyBorder="1"/>
    <xf numFmtId="3" fontId="0" fillId="0" borderId="0" xfId="0" applyNumberFormat="1"/>
    <xf numFmtId="0" fontId="2" fillId="10" borderId="32" xfId="0" applyFont="1" applyFill="1" applyBorder="1"/>
    <xf numFmtId="3" fontId="0" fillId="0" borderId="32" xfId="0" applyNumberFormat="1" applyBorder="1"/>
    <xf numFmtId="2" fontId="0" fillId="0" borderId="32" xfId="0" applyNumberFormat="1" applyBorder="1"/>
    <xf numFmtId="0" fontId="2" fillId="10" borderId="13" xfId="0" applyFont="1" applyFill="1" applyBorder="1"/>
    <xf numFmtId="0" fontId="0" fillId="0" borderId="35" xfId="0" applyBorder="1"/>
    <xf numFmtId="0" fontId="30" fillId="0" borderId="0" xfId="0" applyFont="1" applyAlignment="1" applyProtection="1">
      <alignment horizontal="left" vertical="center"/>
      <protection locked="0"/>
    </xf>
    <xf numFmtId="0" fontId="31" fillId="0" borderId="0" xfId="0" applyFont="1" applyAlignment="1" applyProtection="1">
      <alignment vertical="center"/>
      <protection locked="0"/>
    </xf>
    <xf numFmtId="0" fontId="3" fillId="2" borderId="0" xfId="0" applyFont="1" applyFill="1" applyAlignment="1" applyProtection="1">
      <alignment horizontal="left" vertical="center"/>
      <protection locked="0"/>
    </xf>
    <xf numFmtId="0" fontId="2" fillId="7" borderId="4" xfId="0" applyFont="1" applyFill="1" applyBorder="1" applyAlignment="1">
      <alignment horizontal="center" vertical="distributed"/>
    </xf>
    <xf numFmtId="0" fontId="2" fillId="7" borderId="5" xfId="0" applyFont="1" applyFill="1" applyBorder="1" applyAlignment="1">
      <alignment horizontal="center" vertical="distributed"/>
    </xf>
    <xf numFmtId="0" fontId="2" fillId="7" borderId="6" xfId="0" applyFont="1" applyFill="1" applyBorder="1" applyAlignment="1">
      <alignment horizontal="center" vertical="distributed"/>
    </xf>
    <xf numFmtId="0" fontId="0" fillId="0" borderId="25" xfId="0" applyBorder="1" applyAlignment="1">
      <alignment horizontal="left"/>
    </xf>
    <xf numFmtId="0" fontId="0" fillId="0" borderId="2" xfId="0" applyBorder="1" applyAlignment="1">
      <alignment horizontal="left"/>
    </xf>
    <xf numFmtId="0" fontId="0" fillId="0" borderId="9" xfId="0" applyBorder="1" applyAlignment="1">
      <alignment horizontal="center" vertical="top" wrapText="1"/>
    </xf>
    <xf numFmtId="0" fontId="0" fillId="0" borderId="0" xfId="0" applyAlignment="1">
      <alignment horizontal="center" vertical="top" wrapText="1"/>
    </xf>
    <xf numFmtId="0" fontId="0" fillId="0" borderId="32" xfId="0" applyBorder="1" applyAlignment="1">
      <alignment horizontal="left"/>
    </xf>
    <xf numFmtId="0" fontId="0" fillId="0" borderId="5" xfId="0" applyBorder="1" applyAlignment="1">
      <alignment horizontal="left"/>
    </xf>
    <xf numFmtId="0" fontId="0" fillId="0" borderId="6" xfId="0" applyBorder="1" applyAlignment="1">
      <alignment horizontal="left"/>
    </xf>
    <xf numFmtId="49" fontId="0" fillId="0" borderId="2" xfId="0" applyNumberFormat="1" applyBorder="1" applyAlignment="1">
      <alignment horizontal="left"/>
    </xf>
    <xf numFmtId="166" fontId="0" fillId="0" borderId="2" xfId="0" applyNumberFormat="1" applyBorder="1" applyAlignment="1">
      <alignment horizontal="left"/>
    </xf>
    <xf numFmtId="0" fontId="0" fillId="0" borderId="4" xfId="0" applyBorder="1" applyAlignment="1">
      <alignment horizontal="left"/>
    </xf>
    <xf numFmtId="0" fontId="0" fillId="0" borderId="4" xfId="0" applyBorder="1" applyAlignment="1">
      <alignment horizontal="center"/>
    </xf>
    <xf numFmtId="0" fontId="0" fillId="0" borderId="6" xfId="0" applyBorder="1" applyAlignment="1">
      <alignment horizontal="center"/>
    </xf>
    <xf numFmtId="1" fontId="0" fillId="0" borderId="2" xfId="0" applyNumberFormat="1" applyBorder="1" applyAlignment="1">
      <alignment horizontal="left"/>
    </xf>
    <xf numFmtId="3" fontId="0" fillId="0" borderId="2" xfId="0" applyNumberFormat="1" applyBorder="1" applyAlignment="1">
      <alignment horizontal="left"/>
    </xf>
    <xf numFmtId="0" fontId="0" fillId="0" borderId="10" xfId="0" applyBorder="1" applyAlignment="1">
      <alignment horizontal="center"/>
    </xf>
    <xf numFmtId="0" fontId="2" fillId="0" borderId="11" xfId="0" applyFont="1" applyBorder="1" applyAlignment="1">
      <alignment horizontal="left"/>
    </xf>
    <xf numFmtId="0" fontId="0" fillId="0" borderId="10" xfId="0" applyBorder="1" applyAlignment="1">
      <alignment horizontal="left"/>
    </xf>
    <xf numFmtId="0" fontId="0" fillId="0" borderId="12" xfId="0" applyBorder="1" applyAlignment="1">
      <alignment horizontal="left"/>
    </xf>
    <xf numFmtId="0" fontId="3" fillId="0" borderId="9" xfId="0" applyFont="1"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13" xfId="0" applyBorder="1" applyAlignment="1">
      <alignment horizontal="left" vertical="top" wrapText="1"/>
    </xf>
    <xf numFmtId="0" fontId="0" fillId="0" borderId="1"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center"/>
    </xf>
    <xf numFmtId="0" fontId="2" fillId="10" borderId="4" xfId="0" applyFont="1" applyFill="1" applyBorder="1" applyAlignment="1">
      <alignment horizontal="left"/>
    </xf>
    <xf numFmtId="0" fontId="2" fillId="10" borderId="5" xfId="0" applyFont="1" applyFill="1" applyBorder="1" applyAlignment="1">
      <alignment horizontal="left"/>
    </xf>
    <xf numFmtId="0" fontId="2" fillId="10" borderId="6" xfId="0" applyFont="1" applyFill="1" applyBorder="1" applyAlignment="1">
      <alignment horizontal="left"/>
    </xf>
    <xf numFmtId="1" fontId="0" fillId="0" borderId="4" xfId="0" applyNumberFormat="1" applyBorder="1" applyAlignment="1">
      <alignment horizontal="left"/>
    </xf>
    <xf numFmtId="1" fontId="0" fillId="0" borderId="5" xfId="0" applyNumberFormat="1" applyBorder="1" applyAlignment="1">
      <alignment horizontal="left"/>
    </xf>
    <xf numFmtId="1" fontId="0" fillId="0" borderId="6" xfId="0" applyNumberFormat="1" applyBorder="1" applyAlignment="1">
      <alignment horizontal="left"/>
    </xf>
    <xf numFmtId="3" fontId="0" fillId="0" borderId="4" xfId="0" applyNumberFormat="1" applyBorder="1" applyAlignment="1">
      <alignment horizontal="center"/>
    </xf>
    <xf numFmtId="3" fontId="0" fillId="0" borderId="6" xfId="0" applyNumberFormat="1" applyBorder="1" applyAlignment="1">
      <alignment horizontal="center"/>
    </xf>
    <xf numFmtId="3" fontId="0" fillId="0" borderId="4" xfId="0" applyNumberFormat="1" applyBorder="1" applyAlignment="1">
      <alignment horizontal="left"/>
    </xf>
    <xf numFmtId="3" fontId="0" fillId="0" borderId="5" xfId="0" applyNumberFormat="1" applyBorder="1" applyAlignment="1">
      <alignment horizontal="left"/>
    </xf>
    <xf numFmtId="3" fontId="0" fillId="0" borderId="6" xfId="0" applyNumberFormat="1" applyBorder="1" applyAlignment="1">
      <alignment horizontal="left"/>
    </xf>
    <xf numFmtId="0" fontId="20" fillId="10" borderId="0" xfId="0" applyFont="1" applyFill="1" applyAlignment="1" applyProtection="1">
      <alignment horizontal="center"/>
      <protection locked="0"/>
    </xf>
    <xf numFmtId="0" fontId="21" fillId="7" borderId="0" xfId="0" applyFont="1" applyFill="1" applyAlignment="1" applyProtection="1">
      <alignment horizontal="center"/>
      <protection locked="0"/>
    </xf>
    <xf numFmtId="0" fontId="21" fillId="7" borderId="0" xfId="0" applyFont="1" applyFill="1" applyAlignment="1">
      <alignment horizontal="center"/>
    </xf>
    <xf numFmtId="0" fontId="24" fillId="0" borderId="18" xfId="0" applyFont="1" applyBorder="1" applyAlignment="1">
      <alignment horizontal="left"/>
    </xf>
    <xf numFmtId="0" fontId="24" fillId="0" borderId="2" xfId="0" applyFont="1" applyBorder="1" applyAlignment="1">
      <alignment horizontal="left"/>
    </xf>
    <xf numFmtId="0" fontId="24" fillId="0" borderId="4" xfId="0" applyFont="1" applyBorder="1" applyAlignment="1">
      <alignment horizontal="left"/>
    </xf>
    <xf numFmtId="0" fontId="24" fillId="0" borderId="20" xfId="0" applyFont="1" applyBorder="1" applyAlignment="1">
      <alignment horizontal="left"/>
    </xf>
    <xf numFmtId="0" fontId="24" fillId="0" borderId="21" xfId="0" applyFont="1" applyBorder="1" applyAlignment="1">
      <alignment horizontal="left"/>
    </xf>
    <xf numFmtId="0" fontId="24" fillId="0" borderId="24" xfId="0" applyFont="1" applyBorder="1" applyAlignment="1">
      <alignment horizontal="left"/>
    </xf>
    <xf numFmtId="0" fontId="23" fillId="0" borderId="0" xfId="0" applyFont="1" applyAlignment="1">
      <alignment horizontal="center"/>
    </xf>
    <xf numFmtId="0" fontId="24" fillId="0" borderId="15" xfId="0" applyFont="1" applyBorder="1" applyAlignment="1">
      <alignment horizontal="left"/>
    </xf>
    <xf numFmtId="0" fontId="24" fillId="0" borderId="16" xfId="0" applyFont="1" applyBorder="1" applyAlignment="1">
      <alignment horizontal="left"/>
    </xf>
    <xf numFmtId="0" fontId="24" fillId="0" borderId="17" xfId="0" applyFont="1" applyBorder="1" applyAlignment="1">
      <alignment horizontal="left"/>
    </xf>
    <xf numFmtId="0" fontId="24" fillId="0" borderId="28" xfId="0" applyFont="1" applyBorder="1" applyAlignment="1">
      <alignment horizontal="left"/>
    </xf>
    <xf numFmtId="0" fontId="24" fillId="0" borderId="3" xfId="0" applyFont="1" applyBorder="1" applyAlignment="1">
      <alignment horizontal="left"/>
    </xf>
    <xf numFmtId="0" fontId="24" fillId="0" borderId="29" xfId="0" applyFont="1" applyBorder="1" applyAlignment="1">
      <alignment horizontal="left"/>
    </xf>
    <xf numFmtId="0" fontId="24" fillId="0" borderId="30" xfId="0" applyFont="1" applyBorder="1" applyAlignment="1">
      <alignment horizontal="left"/>
    </xf>
    <xf numFmtId="0" fontId="24" fillId="0" borderId="25" xfId="0" applyFont="1" applyBorder="1" applyAlignment="1">
      <alignment horizontal="left"/>
    </xf>
    <xf numFmtId="0" fontId="24" fillId="0" borderId="31" xfId="0" applyFont="1" applyBorder="1" applyAlignment="1">
      <alignment horizontal="left"/>
    </xf>
    <xf numFmtId="0" fontId="24" fillId="0" borderId="19" xfId="0" applyFont="1" applyBorder="1" applyAlignment="1">
      <alignment horizontal="left"/>
    </xf>
    <xf numFmtId="0" fontId="24" fillId="0" borderId="22" xfId="0" applyFont="1" applyBorder="1" applyAlignment="1">
      <alignment horizontal="left"/>
    </xf>
    <xf numFmtId="0" fontId="24" fillId="0" borderId="23" xfId="0" applyFont="1" applyBorder="1" applyAlignment="1">
      <alignment horizontal="left"/>
    </xf>
    <xf numFmtId="0" fontId="24" fillId="0" borderId="26" xfId="0" applyFont="1" applyBorder="1" applyAlignment="1">
      <alignment horizontal="left"/>
    </xf>
    <xf numFmtId="0" fontId="24" fillId="0" borderId="6" xfId="0" applyFont="1" applyBorder="1" applyAlignment="1">
      <alignment horizontal="left"/>
    </xf>
    <xf numFmtId="0" fontId="24" fillId="0" borderId="5" xfId="0" applyFont="1" applyBorder="1" applyAlignment="1">
      <alignment horizontal="left"/>
    </xf>
    <xf numFmtId="0" fontId="24" fillId="0" borderId="27" xfId="0" applyFont="1" applyBorder="1" applyAlignment="1">
      <alignment horizontal="left"/>
    </xf>
    <xf numFmtId="0" fontId="23" fillId="0" borderId="0" xfId="0" applyFont="1" applyAlignment="1">
      <alignment horizontal="left" vertical="top" wrapText="1"/>
    </xf>
    <xf numFmtId="0" fontId="25" fillId="0" borderId="0" xfId="0" applyFont="1" applyAlignment="1">
      <alignment horizontal="left" vertical="top" wrapText="1"/>
    </xf>
    <xf numFmtId="0" fontId="26" fillId="0" borderId="0" xfId="0" applyFont="1" applyAlignment="1">
      <alignment horizontal="left" vertical="top" wrapText="1"/>
    </xf>
    <xf numFmtId="0" fontId="23" fillId="0" borderId="2" xfId="0" applyFont="1" applyBorder="1" applyAlignment="1">
      <alignment horizontal="left" vertical="top" wrapText="1"/>
    </xf>
    <xf numFmtId="0" fontId="25" fillId="0" borderId="2" xfId="0" applyFont="1" applyBorder="1" applyAlignment="1">
      <alignment horizontal="center"/>
    </xf>
    <xf numFmtId="0" fontId="23" fillId="0" borderId="4" xfId="0" applyFont="1" applyBorder="1" applyAlignment="1">
      <alignment horizontal="center" vertical="center"/>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23" fillId="0" borderId="14" xfId="0" applyFont="1" applyBorder="1" applyAlignment="1">
      <alignment horizontal="center" vertical="center"/>
    </xf>
    <xf numFmtId="0" fontId="23" fillId="0" borderId="10" xfId="0" applyFont="1" applyBorder="1" applyAlignment="1">
      <alignment horizontal="center" vertical="center"/>
    </xf>
    <xf numFmtId="0" fontId="23" fillId="0" borderId="1" xfId="0" applyFont="1" applyBorder="1" applyAlignment="1">
      <alignment horizontal="center" vertical="center"/>
    </xf>
    <xf numFmtId="0" fontId="27" fillId="0" borderId="0" xfId="0" applyFont="1" applyAlignment="1">
      <alignment horizontal="left" vertical="top" wrapText="1"/>
    </xf>
    <xf numFmtId="0" fontId="29" fillId="0" borderId="0" xfId="0" applyFont="1" applyAlignment="1">
      <alignment horizontal="left" vertical="top" wrapText="1"/>
    </xf>
    <xf numFmtId="0" fontId="27" fillId="0" borderId="0" xfId="0" applyFont="1" applyAlignment="1">
      <alignment horizontal="center" vertical="top" wrapText="1"/>
    </xf>
    <xf numFmtId="0" fontId="23" fillId="0" borderId="0" xfId="0" applyFont="1" applyAlignment="1">
      <alignment horizontal="left"/>
    </xf>
    <xf numFmtId="0" fontId="28" fillId="0" borderId="0" xfId="0" applyFont="1" applyAlignment="1">
      <alignment horizontal="left" vertical="top" wrapText="1"/>
    </xf>
    <xf numFmtId="0" fontId="25" fillId="0" borderId="0" xfId="0" applyFont="1" applyAlignment="1">
      <alignment horizontal="left"/>
    </xf>
    <xf numFmtId="0" fontId="26" fillId="0" borderId="0" xfId="0" applyFont="1" applyAlignment="1">
      <alignment horizontal="left"/>
    </xf>
    <xf numFmtId="0" fontId="29" fillId="0" borderId="0" xfId="0" applyFont="1" applyAlignment="1">
      <alignment horizontal="left"/>
    </xf>
    <xf numFmtId="0" fontId="19" fillId="0" borderId="0" xfId="0" applyFont="1" applyAlignment="1">
      <alignment horizontal="left"/>
    </xf>
    <xf numFmtId="0" fontId="0" fillId="0" borderId="2" xfId="0" applyBorder="1" applyAlignment="1"/>
  </cellXfs>
  <cellStyles count="5">
    <cellStyle name="Comma" xfId="3" builtinId="3"/>
    <cellStyle name="Currency" xfId="1" builtinId="4"/>
    <cellStyle name="Hyperlink" xfId="4" builtinId="8"/>
    <cellStyle name="Normal" xfId="0" builtinId="0"/>
    <cellStyle name="Percent" xfId="2" builtinId="5"/>
  </cellStyles>
  <dxfs count="4">
    <dxf>
      <font>
        <color rgb="FF9C6500"/>
      </font>
      <fill>
        <patternFill>
          <bgColor rgb="FFFFEB9C"/>
        </patternFill>
      </fill>
    </dxf>
    <dxf>
      <font>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29653</xdr:colOff>
      <xdr:row>103</xdr:row>
      <xdr:rowOff>19050</xdr:rowOff>
    </xdr:from>
    <xdr:to>
      <xdr:col>9</xdr:col>
      <xdr:colOff>581537</xdr:colOff>
      <xdr:row>135</xdr:row>
      <xdr:rowOff>19050</xdr:rowOff>
    </xdr:to>
    <xdr:pic>
      <xdr:nvPicPr>
        <xdr:cNvPr id="4" name="Picture 3" descr="A red rectangular sign with white text&#10;&#10;AI-generated content may be incorrect.">
          <a:extLst>
            <a:ext uri="{FF2B5EF4-FFF2-40B4-BE49-F238E27FC236}">
              <a16:creationId xmlns:a16="http://schemas.microsoft.com/office/drawing/2014/main" id="{E6E03D57-4210-4D2E-BDD7-D73F6A13F6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8703" y="17145000"/>
          <a:ext cx="2466409" cy="518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3"/>
  <sheetViews>
    <sheetView showGridLines="0" tabSelected="1" zoomScaleNormal="100" workbookViewId="0">
      <selection activeCell="O41" sqref="O41"/>
    </sheetView>
  </sheetViews>
  <sheetFormatPr defaultColWidth="10" defaultRowHeight="12" customHeight="1"/>
  <cols>
    <col min="1" max="1" width="15.42578125" style="17" customWidth="1"/>
    <col min="2" max="2" width="15.5703125" style="17" customWidth="1"/>
    <col min="3" max="3" width="11.7109375" style="17" customWidth="1"/>
    <col min="4" max="4" width="10" style="17" customWidth="1"/>
    <col min="5" max="5" width="11.28515625" style="17" customWidth="1"/>
    <col min="6" max="6" width="15.140625" style="17" customWidth="1"/>
    <col min="7" max="7" width="10" style="17" customWidth="1"/>
    <col min="8" max="8" width="12.85546875" style="17" customWidth="1"/>
    <col min="9" max="9" width="9.5703125" style="17" customWidth="1"/>
    <col min="10" max="10" width="17.140625" style="17" hidden="1" customWidth="1"/>
    <col min="11" max="11" width="10" style="17"/>
    <col min="12" max="12" width="10.28515625" style="17" bestFit="1" customWidth="1"/>
    <col min="13" max="16384" width="10" style="17"/>
  </cols>
  <sheetData>
    <row r="1" spans="1:11" ht="12" customHeight="1">
      <c r="B1" s="7" t="s">
        <v>0</v>
      </c>
      <c r="C1" s="20"/>
      <c r="D1" s="21"/>
      <c r="E1" s="22"/>
      <c r="F1" s="7" t="s">
        <v>1</v>
      </c>
      <c r="G1" s="232"/>
      <c r="H1" s="232"/>
      <c r="K1" s="231" t="s">
        <v>2</v>
      </c>
    </row>
    <row r="2" spans="1:11" ht="12" customHeight="1">
      <c r="B2" s="7" t="s">
        <v>3</v>
      </c>
      <c r="C2" s="23"/>
      <c r="D2" s="21"/>
      <c r="E2" s="22"/>
      <c r="F2" s="7" t="s">
        <v>4</v>
      </c>
      <c r="G2" s="232"/>
      <c r="H2" s="232"/>
    </row>
    <row r="3" spans="1:11" ht="12" customHeight="1">
      <c r="B3" s="7" t="s">
        <v>5</v>
      </c>
      <c r="C3" s="24"/>
      <c r="D3" s="21"/>
      <c r="E3" s="22"/>
      <c r="F3" s="7" t="s">
        <v>6</v>
      </c>
      <c r="G3" s="232"/>
      <c r="H3" s="232"/>
    </row>
    <row r="4" spans="1:11" ht="12" customHeight="1">
      <c r="B4" s="7" t="s">
        <v>7</v>
      </c>
      <c r="C4" s="24"/>
      <c r="D4" s="21"/>
      <c r="E4" s="22"/>
      <c r="F4" s="7" t="s">
        <v>8</v>
      </c>
      <c r="G4" s="23"/>
      <c r="H4" s="23"/>
    </row>
    <row r="5" spans="1:11" ht="12" customHeight="1">
      <c r="B5" s="7" t="s">
        <v>4</v>
      </c>
      <c r="C5" s="24"/>
      <c r="D5" s="22"/>
      <c r="E5" s="22"/>
      <c r="F5" s="7" t="s">
        <v>9</v>
      </c>
      <c r="G5" s="23"/>
      <c r="H5" s="23"/>
    </row>
    <row r="6" spans="1:11" ht="12" customHeight="1">
      <c r="B6" s="7" t="s">
        <v>6</v>
      </c>
      <c r="C6" s="24"/>
      <c r="D6" s="21"/>
      <c r="E6" s="22"/>
      <c r="F6" s="7" t="s">
        <v>10</v>
      </c>
      <c r="G6" s="25"/>
      <c r="H6" s="25"/>
    </row>
    <row r="7" spans="1:11" ht="12" customHeight="1">
      <c r="B7" s="7" t="s">
        <v>11</v>
      </c>
      <c r="C7" s="26"/>
      <c r="D7" s="21"/>
      <c r="E7" s="22"/>
      <c r="F7" s="85" t="s">
        <v>12</v>
      </c>
      <c r="G7" s="25"/>
      <c r="H7" s="25"/>
    </row>
    <row r="8" spans="1:11" ht="12" customHeight="1">
      <c r="B8" s="7" t="s">
        <v>8</v>
      </c>
      <c r="C8" s="148"/>
      <c r="D8" s="23"/>
      <c r="E8" s="22"/>
      <c r="F8" s="230" t="s">
        <v>13</v>
      </c>
      <c r="G8" s="25"/>
      <c r="H8" s="25"/>
    </row>
    <row r="9" spans="1:11" ht="12" customHeight="1">
      <c r="B9" s="7" t="s">
        <v>9</v>
      </c>
      <c r="C9" s="27"/>
      <c r="D9" s="21"/>
      <c r="E9" s="22"/>
      <c r="F9" s="179" t="s">
        <v>14</v>
      </c>
      <c r="G9" s="25"/>
      <c r="H9" s="25"/>
    </row>
    <row r="11" spans="1:11" ht="12" customHeight="1">
      <c r="A11" s="85" t="s">
        <v>15</v>
      </c>
      <c r="D11" s="37">
        <v>1.1000000000000001</v>
      </c>
      <c r="E11" s="37">
        <v>1.2</v>
      </c>
      <c r="F11" s="129">
        <v>1.3</v>
      </c>
    </row>
    <row r="12" spans="1:11" ht="12" customHeight="1">
      <c r="A12" s="85" t="s">
        <v>16</v>
      </c>
      <c r="C12" s="30"/>
      <c r="D12" s="37">
        <f>C12*D11</f>
        <v>0</v>
      </c>
      <c r="E12" s="37">
        <f>C12*E11</f>
        <v>0</v>
      </c>
      <c r="F12" s="37">
        <f>C12*F11</f>
        <v>0</v>
      </c>
    </row>
    <row r="13" spans="1:11" ht="12" customHeight="1">
      <c r="A13" s="31" t="s">
        <v>17</v>
      </c>
      <c r="B13" s="31"/>
      <c r="C13" s="32"/>
      <c r="D13" s="32"/>
      <c r="E13" s="32"/>
      <c r="F13" s="32"/>
      <c r="G13" s="32"/>
      <c r="H13" s="32"/>
    </row>
    <row r="14" spans="1:11" ht="12" customHeight="1">
      <c r="B14" s="151" t="s">
        <v>18</v>
      </c>
      <c r="C14" s="151" t="s">
        <v>19</v>
      </c>
      <c r="D14" s="151"/>
      <c r="E14" s="151" t="s">
        <v>20</v>
      </c>
      <c r="F14" s="151"/>
      <c r="G14" s="151" t="s">
        <v>21</v>
      </c>
      <c r="H14" s="151" t="s">
        <v>22</v>
      </c>
    </row>
    <row r="15" spans="1:11" ht="12" customHeight="1">
      <c r="B15" s="89"/>
      <c r="C15" s="89"/>
      <c r="D15" s="89"/>
      <c r="E15" s="89"/>
      <c r="F15" s="89"/>
      <c r="G15" s="89"/>
      <c r="H15" s="89"/>
    </row>
    <row r="16" spans="1:11" ht="12" customHeight="1">
      <c r="A16" s="85" t="s">
        <v>23</v>
      </c>
      <c r="B16" s="89" t="s">
        <v>24</v>
      </c>
      <c r="C16" s="7" t="s">
        <v>25</v>
      </c>
      <c r="E16" s="38"/>
      <c r="F16" s="32"/>
      <c r="G16" s="36"/>
      <c r="H16" s="36"/>
    </row>
    <row r="17" spans="1:9" ht="12" customHeight="1">
      <c r="A17" s="85"/>
      <c r="B17" s="89" t="s">
        <v>26</v>
      </c>
      <c r="C17" s="7" t="s">
        <v>27</v>
      </c>
      <c r="E17" s="38"/>
      <c r="F17" s="32"/>
      <c r="G17" s="36"/>
      <c r="H17" s="36"/>
    </row>
    <row r="18" spans="1:9" ht="12" customHeight="1">
      <c r="D18" s="7" t="s">
        <v>28</v>
      </c>
      <c r="E18" s="28"/>
      <c r="F18" s="89" t="s">
        <v>29</v>
      </c>
      <c r="G18" s="39"/>
      <c r="H18" s="39"/>
    </row>
    <row r="19" spans="1:9" ht="12" customHeight="1">
      <c r="A19" s="33">
        <v>11</v>
      </c>
      <c r="B19" s="32" t="str">
        <f>IF(A19=11,"Gaco Roof 2.7",IF(A19=21,"NCFI Roof 2.7",""))</f>
        <v>Gaco Roof 2.7</v>
      </c>
      <c r="C19" s="40">
        <v>0</v>
      </c>
      <c r="D19" s="41">
        <v>1.5</v>
      </c>
      <c r="E19" s="42">
        <v>2.15</v>
      </c>
      <c r="F19" s="43">
        <v>2600</v>
      </c>
      <c r="G19" s="36">
        <f>((C19/F19)*D19)*1000</f>
        <v>0</v>
      </c>
      <c r="H19" s="36">
        <f>E19*G19</f>
        <v>0</v>
      </c>
    </row>
    <row r="20" spans="1:9" ht="12" customHeight="1">
      <c r="A20" s="33">
        <v>11</v>
      </c>
      <c r="B20" s="32" t="str">
        <f t="shared" ref="B20:B21" si="0">IF(A20=11,"Gaco Roof 2.7",IF(A20=21,"NCFI Roof 2.7",""))</f>
        <v>Gaco Roof 2.7</v>
      </c>
      <c r="C20" s="40">
        <v>0</v>
      </c>
      <c r="D20" s="41">
        <v>1.25</v>
      </c>
      <c r="E20" s="42">
        <v>2.15</v>
      </c>
      <c r="F20" s="43">
        <v>2700</v>
      </c>
      <c r="G20" s="36">
        <f>((C20/F20)*D20)*1000</f>
        <v>0</v>
      </c>
      <c r="H20" s="36">
        <f>E20*G20</f>
        <v>0</v>
      </c>
    </row>
    <row r="21" spans="1:9" ht="12" customHeight="1">
      <c r="A21" s="33">
        <v>11</v>
      </c>
      <c r="B21" s="32" t="str">
        <f t="shared" si="0"/>
        <v>Gaco Roof 2.7</v>
      </c>
      <c r="C21" s="40">
        <v>0</v>
      </c>
      <c r="D21" s="41">
        <v>1.25</v>
      </c>
      <c r="E21" s="42">
        <v>2.15</v>
      </c>
      <c r="F21" s="43">
        <v>2700</v>
      </c>
      <c r="G21" s="36">
        <f>((C21/F21)*D21)*1000</f>
        <v>0</v>
      </c>
      <c r="H21" s="36">
        <f>E21*G21</f>
        <v>0</v>
      </c>
      <c r="I21" s="89"/>
    </row>
    <row r="22" spans="1:9" ht="12" customHeight="1">
      <c r="C22" s="37"/>
      <c r="D22" s="37"/>
    </row>
    <row r="23" spans="1:9" ht="12" customHeight="1">
      <c r="A23" s="85" t="s">
        <v>30</v>
      </c>
      <c r="B23" s="89" t="s">
        <v>24</v>
      </c>
      <c r="C23" s="7" t="s">
        <v>31</v>
      </c>
      <c r="D23" s="37"/>
    </row>
    <row r="24" spans="1:9" ht="12" customHeight="1">
      <c r="B24" s="89" t="s">
        <v>26</v>
      </c>
      <c r="C24" s="85" t="s">
        <v>32</v>
      </c>
      <c r="D24" s="85"/>
      <c r="E24" s="85"/>
      <c r="F24" s="85"/>
    </row>
    <row r="25" spans="1:9" ht="12" customHeight="1">
      <c r="A25" s="112"/>
      <c r="C25" s="89"/>
      <c r="D25" s="89" t="s">
        <v>33</v>
      </c>
    </row>
    <row r="26" spans="1:9" ht="12" customHeight="1">
      <c r="A26" s="34">
        <v>11</v>
      </c>
      <c r="B26" s="32" t="str">
        <f>IF(A28=11,"Gaco Silicone",IF(A28=12,"Gaco Acrylic",IF(A28=13,"Gaco Urethane",IF(A28=21,"GAF Silicone",IF(A28=22,"GAF Acrylic",IF(A28=23,"GAF Urethane",IF(A28=4,"Aluminum",IF(A28=31,"SW Silicone",IF(A28=32,"SW Acrylic",IF(A28=33,"SW Urethane",""))))))))))</f>
        <v>Gaco Silicone</v>
      </c>
      <c r="C26" s="40">
        <v>0</v>
      </c>
      <c r="D26" s="41">
        <v>1</v>
      </c>
      <c r="E26" s="44">
        <v>26</v>
      </c>
      <c r="F26" s="32"/>
      <c r="G26" s="36">
        <f>(((C26/100)*D26))*(1+($A$30/100))</f>
        <v>0</v>
      </c>
      <c r="H26" s="36">
        <f>E26*G26</f>
        <v>0</v>
      </c>
    </row>
    <row r="27" spans="1:9" ht="12" customHeight="1">
      <c r="A27" s="34">
        <v>11</v>
      </c>
      <c r="B27" s="32" t="str">
        <f>IF(A28=11,"Gaco Silicone",IF(A28=12,"Gaco Acrylic",IF(A28=13,"Gaco Urethane",IF(A28=21,"GAF Silicone",IF(A28=22,"GAF Acrylic",IF(A28=23,"GAF Urethane",IF(A28=4,"Aluminum",IF(A28=31,"SW Silicone",IF(A28=32,"SW Acrylic",IF(A28=33,"SW Urethane",""))))))))))</f>
        <v>Gaco Silicone</v>
      </c>
      <c r="C27" s="40">
        <v>0</v>
      </c>
      <c r="D27" s="41">
        <v>1</v>
      </c>
      <c r="E27" s="44">
        <v>26</v>
      </c>
      <c r="F27" s="32"/>
      <c r="G27" s="36">
        <f t="shared" ref="G27:G28" si="1">(((C27/100)*D27))*(1+($A$30*0.01))</f>
        <v>0</v>
      </c>
      <c r="H27" s="36">
        <f>E27*G27</f>
        <v>0</v>
      </c>
    </row>
    <row r="28" spans="1:9" ht="12" customHeight="1">
      <c r="A28" s="34">
        <v>11</v>
      </c>
      <c r="B28" s="32" t="str">
        <f>IF(A28=11,"Gaco Silicone",IF(A28=12,"Gaco Acrylic",IF(A28=13,"Gaco Urethane",IF(A28=21,"GAF Silicone",IF(A28=22,"GAF Acrylic",IF(A28=23,"GAF Urethane",IF(A28=4,"Aluminum",IF(A28=31,"SW Silicone",IF(A28=32,"SW Acrylic",IF(A28=33,"SW Urethane",""))))))))))</f>
        <v>Gaco Silicone</v>
      </c>
      <c r="C28" s="40">
        <v>0</v>
      </c>
      <c r="D28" s="41">
        <v>1</v>
      </c>
      <c r="E28" s="44">
        <v>36</v>
      </c>
      <c r="F28" s="32"/>
      <c r="G28" s="36">
        <f t="shared" si="1"/>
        <v>0</v>
      </c>
      <c r="H28" s="36">
        <f>E28*G28</f>
        <v>0</v>
      </c>
    </row>
    <row r="29" spans="1:9" ht="12" customHeight="1">
      <c r="A29" s="112" t="s">
        <v>34</v>
      </c>
      <c r="B29" s="32"/>
      <c r="C29" s="45"/>
      <c r="D29" s="46"/>
      <c r="E29" s="38"/>
      <c r="F29" s="32"/>
      <c r="G29" s="36"/>
      <c r="H29" s="36"/>
    </row>
    <row r="30" spans="1:9" ht="12" customHeight="1">
      <c r="A30" s="47">
        <v>30</v>
      </c>
      <c r="B30" s="98"/>
      <c r="C30" s="48"/>
      <c r="D30" s="49"/>
      <c r="E30" s="38"/>
      <c r="F30" s="32"/>
      <c r="G30" s="36"/>
      <c r="H30" s="36"/>
    </row>
    <row r="31" spans="1:9" ht="12" customHeight="1">
      <c r="D31" s="89"/>
    </row>
    <row r="32" spans="1:9" ht="12" customHeight="1">
      <c r="A32" s="85" t="s">
        <v>35</v>
      </c>
      <c r="B32" s="89" t="s">
        <v>26</v>
      </c>
      <c r="C32" s="85" t="s">
        <v>36</v>
      </c>
      <c r="D32" s="89"/>
    </row>
    <row r="33" spans="1:9" ht="12" customHeight="1">
      <c r="A33" s="33">
        <v>1</v>
      </c>
      <c r="B33" s="32" t="str">
        <f>IF(A33=1,"Naphtha VM&amp;P",IF(A33=2,"Mineral Spirits",IF(A33=3,"Xylene","")))</f>
        <v>Naphtha VM&amp;P</v>
      </c>
      <c r="C33" s="48"/>
      <c r="D33" s="49"/>
      <c r="E33" s="44">
        <v>10</v>
      </c>
      <c r="F33" s="32"/>
      <c r="G33" s="36">
        <f>((G26+G27+G28)/55)*4</f>
        <v>0</v>
      </c>
      <c r="H33" s="36">
        <f>E33*G33</f>
        <v>0</v>
      </c>
    </row>
    <row r="35" spans="1:9" ht="12" customHeight="1">
      <c r="A35" s="85" t="s">
        <v>37</v>
      </c>
      <c r="B35" s="89" t="s">
        <v>26</v>
      </c>
      <c r="C35" s="85" t="s">
        <v>38</v>
      </c>
    </row>
    <row r="36" spans="1:9" ht="12" customHeight="1">
      <c r="A36" s="33">
        <v>1</v>
      </c>
      <c r="B36" s="32" t="str">
        <f>IF(A36=1,"3M",IF(A36=2,"SESCO",""))</f>
        <v>3M</v>
      </c>
      <c r="C36" s="50"/>
      <c r="E36" s="44">
        <v>26</v>
      </c>
      <c r="F36" s="32"/>
      <c r="G36" s="51">
        <f>(((C36/100)*50)/100)</f>
        <v>0</v>
      </c>
      <c r="H36" s="36">
        <f>E36*G36</f>
        <v>0</v>
      </c>
    </row>
    <row r="37" spans="1:9" ht="12" customHeight="1">
      <c r="A37"/>
      <c r="B37"/>
      <c r="C37"/>
      <c r="D37"/>
      <c r="E37"/>
      <c r="F37"/>
      <c r="G37"/>
      <c r="H37"/>
    </row>
    <row r="38" spans="1:9" ht="12" customHeight="1">
      <c r="A38" s="85" t="s">
        <v>39</v>
      </c>
      <c r="B38" s="89" t="s">
        <v>26</v>
      </c>
      <c r="C38" s="85" t="s">
        <v>40</v>
      </c>
      <c r="D38" s="85"/>
      <c r="E38" s="85"/>
      <c r="F38" s="85"/>
    </row>
    <row r="39" spans="1:9" ht="12" customHeight="1">
      <c r="A39" s="33">
        <v>1</v>
      </c>
      <c r="B39" s="32" t="str">
        <f>IF(A39=1,"Gaco E-5320",IF(A39=2,"Red Zinc Oxide",IF(A39=3,"Black Foam","")))</f>
        <v>Gaco E-5320</v>
      </c>
      <c r="C39" s="34"/>
      <c r="E39" s="35">
        <v>40</v>
      </c>
      <c r="F39" s="32"/>
      <c r="G39" s="36">
        <f>SUM(C39/250)</f>
        <v>0</v>
      </c>
      <c r="H39" s="36">
        <f>E39*G39</f>
        <v>0</v>
      </c>
    </row>
    <row r="40" spans="1:9" ht="12" customHeight="1">
      <c r="A40" s="37"/>
      <c r="B40" s="32"/>
      <c r="C40" s="37"/>
      <c r="E40" s="38"/>
      <c r="F40" s="32"/>
      <c r="G40" s="36"/>
      <c r="H40" s="36"/>
    </row>
    <row r="41" spans="1:9" ht="12" customHeight="1">
      <c r="A41" s="85" t="s">
        <v>41</v>
      </c>
      <c r="B41" s="89" t="s">
        <v>26</v>
      </c>
      <c r="C41" s="7" t="s">
        <v>42</v>
      </c>
      <c r="I41"/>
    </row>
    <row r="42" spans="1:9" ht="12" customHeight="1">
      <c r="A42" s="85"/>
      <c r="B42" s="89"/>
      <c r="C42" s="7" t="s">
        <v>43</v>
      </c>
    </row>
    <row r="43" spans="1:9" ht="12" customHeight="1">
      <c r="A43" s="33">
        <v>2</v>
      </c>
      <c r="B43" s="32" t="str">
        <f>IF(A43=1,"Silicone Tube",IF(A43=2,"Silicone Sausage",IF(A43=3,"Urethane Tube",IF(A43=4,"Urethane Sausage",IF(A43=5,"Gaco SF-2000",IF(A43=6,"Buttergrade",""))))))</f>
        <v>Silicone Sausage</v>
      </c>
      <c r="C43" s="55"/>
      <c r="E43" s="44">
        <v>11.5</v>
      </c>
      <c r="F43" s="32"/>
      <c r="G43" s="139"/>
      <c r="H43" s="36">
        <f>E43*G43</f>
        <v>0</v>
      </c>
    </row>
    <row r="45" spans="1:9" ht="12" customHeight="1">
      <c r="A45" s="33">
        <v>5</v>
      </c>
      <c r="B45" s="32" t="str">
        <f>IF(A45=1,"Silicone Tube",IF(A45=2,"Silicone Sausage",IF(A45=3,"Urethane Tube",IF(A45=4,"Urethane Sausage",IF(A45=5,"Gaco SF-2000",IF(A45=6,"Buttergrade",""))))))</f>
        <v>Gaco SF-2000</v>
      </c>
      <c r="C45" s="55"/>
      <c r="E45" s="44">
        <v>35</v>
      </c>
      <c r="F45" s="32"/>
      <c r="G45" s="142"/>
      <c r="H45" s="36">
        <f>E45*G45</f>
        <v>0</v>
      </c>
    </row>
    <row r="46" spans="1:9" ht="12" customHeight="1">
      <c r="A46"/>
      <c r="B46"/>
      <c r="C46" s="93" t="s">
        <v>44</v>
      </c>
      <c r="D46"/>
      <c r="E46"/>
      <c r="F46"/>
      <c r="G46"/>
      <c r="H46"/>
    </row>
    <row r="47" spans="1:9" ht="12" customHeight="1">
      <c r="A47" s="112" t="s">
        <v>45</v>
      </c>
      <c r="C47" s="50">
        <v>0</v>
      </c>
      <c r="E47"/>
      <c r="G47"/>
      <c r="H47" s="36"/>
    </row>
    <row r="48" spans="1:9" ht="12" customHeight="1">
      <c r="D48" s="89" t="s">
        <v>46</v>
      </c>
      <c r="G48"/>
    </row>
    <row r="49" spans="1:8" ht="12" customHeight="1">
      <c r="A49" s="112" t="s">
        <v>47</v>
      </c>
      <c r="B49" s="101"/>
      <c r="C49" s="25"/>
      <c r="D49" s="110">
        <v>0</v>
      </c>
      <c r="E49"/>
      <c r="F49" s="32"/>
      <c r="G49"/>
      <c r="H49" s="36"/>
    </row>
    <row r="50" spans="1:8" ht="12" customHeight="1">
      <c r="D50" s="89"/>
      <c r="G50"/>
    </row>
    <row r="51" spans="1:8" ht="12" customHeight="1">
      <c r="A51" s="112" t="s">
        <v>48</v>
      </c>
      <c r="B51" s="101"/>
      <c r="C51" s="25"/>
      <c r="D51" s="110">
        <v>0</v>
      </c>
      <c r="E51"/>
      <c r="F51" s="32"/>
      <c r="G51"/>
      <c r="H51" s="36"/>
    </row>
    <row r="52" spans="1:8" ht="12" customHeight="1">
      <c r="D52" s="37"/>
      <c r="E52"/>
      <c r="G52"/>
    </row>
    <row r="53" spans="1:8" ht="12" customHeight="1">
      <c r="A53" s="112" t="s">
        <v>49</v>
      </c>
      <c r="B53" s="101"/>
      <c r="C53" s="25"/>
      <c r="D53" s="110">
        <v>0</v>
      </c>
      <c r="E53"/>
      <c r="F53" s="32"/>
      <c r="G53"/>
      <c r="H53" s="36"/>
    </row>
    <row r="54" spans="1:8" ht="12" customHeight="1">
      <c r="A54"/>
      <c r="B54"/>
      <c r="C54"/>
      <c r="D54"/>
      <c r="E54"/>
      <c r="F54"/>
      <c r="G54"/>
      <c r="H54"/>
    </row>
    <row r="55" spans="1:8" ht="12" customHeight="1">
      <c r="A55" s="85" t="s">
        <v>50</v>
      </c>
      <c r="B55" s="89" t="s">
        <v>26</v>
      </c>
      <c r="C55" s="85" t="s">
        <v>51</v>
      </c>
    </row>
    <row r="56" spans="1:8" ht="12" customHeight="1">
      <c r="A56" s="85"/>
      <c r="B56" s="89"/>
      <c r="C56" s="85" t="s">
        <v>52</v>
      </c>
    </row>
    <row r="57" spans="1:8" ht="12" customHeight="1">
      <c r="C57" s="89" t="s">
        <v>19</v>
      </c>
      <c r="D57" s="89" t="s">
        <v>28</v>
      </c>
      <c r="E57" s="89" t="s">
        <v>53</v>
      </c>
    </row>
    <row r="58" spans="1:8" ht="12" customHeight="1">
      <c r="A58" s="33">
        <v>1</v>
      </c>
      <c r="B58" s="113" t="str">
        <f>IF(A58=1,"ISO Board",IF(A58=2,"Wood Fiber",IF(A58=3,"Dens Deck",IF(A58=4,"Type X Gyp Board",IF(A58=5,"Flute Filler","")))))</f>
        <v>ISO Board</v>
      </c>
      <c r="C58" s="117"/>
      <c r="D58" s="115">
        <v>1</v>
      </c>
      <c r="E58" s="120">
        <v>100</v>
      </c>
      <c r="F58" s="32"/>
      <c r="G58" s="55"/>
      <c r="H58" s="36">
        <f>C58/100*E58</f>
        <v>0</v>
      </c>
    </row>
    <row r="59" spans="1:8" ht="12" customHeight="1">
      <c r="A59" s="33">
        <v>1</v>
      </c>
      <c r="B59" s="113" t="str">
        <f t="shared" ref="B59:B60" si="2">IF(A59=1,"ISO Board",IF(A59=2,"Wood Fiber",IF(A59=3,"Dens Deck",IF(A59=4,"Type X Gyp Board",IF(A59=5,"Flute Filler","")))))</f>
        <v>ISO Board</v>
      </c>
      <c r="C59" s="117">
        <v>0</v>
      </c>
      <c r="D59" s="115">
        <v>0</v>
      </c>
      <c r="E59" s="120">
        <v>30</v>
      </c>
      <c r="F59" s="32"/>
      <c r="G59" s="55"/>
      <c r="H59" s="36">
        <f t="shared" ref="H59:H60" si="3">C59/100*E59</f>
        <v>0</v>
      </c>
    </row>
    <row r="60" spans="1:8" ht="12" customHeight="1">
      <c r="A60" s="33">
        <v>1</v>
      </c>
      <c r="B60" s="113" t="str">
        <f t="shared" si="2"/>
        <v>ISO Board</v>
      </c>
      <c r="C60" s="117">
        <v>0</v>
      </c>
      <c r="D60" s="115">
        <v>0</v>
      </c>
      <c r="E60" s="120">
        <v>30</v>
      </c>
      <c r="F60" s="32"/>
      <c r="G60" s="55"/>
      <c r="H60" s="36">
        <f t="shared" si="3"/>
        <v>0</v>
      </c>
    </row>
    <row r="61" spans="1:8" ht="12" customHeight="1">
      <c r="C61" s="89"/>
      <c r="G61" s="89"/>
    </row>
    <row r="62" spans="1:8" ht="12" customHeight="1">
      <c r="C62" s="89" t="s">
        <v>54</v>
      </c>
    </row>
    <row r="63" spans="1:8" ht="12" customHeight="1">
      <c r="A63" s="85" t="s">
        <v>55</v>
      </c>
      <c r="B63" s="52"/>
      <c r="C63" s="47"/>
      <c r="E63" s="121"/>
      <c r="F63" s="32"/>
      <c r="G63" s="55">
        <f>C58/32*12</f>
        <v>0</v>
      </c>
      <c r="H63" s="36">
        <f>E63*G63/1000</f>
        <v>0</v>
      </c>
    </row>
    <row r="65" spans="1:8" ht="12" customHeight="1">
      <c r="A65" s="85" t="s">
        <v>56</v>
      </c>
      <c r="B65" s="23"/>
      <c r="E65" s="122">
        <v>0</v>
      </c>
      <c r="G65" s="55">
        <f>C58/32*12</f>
        <v>0</v>
      </c>
      <c r="H65" s="36">
        <f>E65*G65/1000</f>
        <v>0</v>
      </c>
    </row>
    <row r="67" spans="1:8" ht="12" customHeight="1">
      <c r="A67" s="85" t="s">
        <v>57</v>
      </c>
      <c r="B67" s="89" t="s">
        <v>26</v>
      </c>
      <c r="C67" s="85" t="s">
        <v>58</v>
      </c>
    </row>
    <row r="68" spans="1:8" ht="12" customHeight="1">
      <c r="A68" s="85"/>
      <c r="B68" s="89"/>
      <c r="C68" s="89"/>
      <c r="D68" s="89" t="s">
        <v>28</v>
      </c>
      <c r="E68" s="89"/>
      <c r="F68" s="89" t="s">
        <v>34</v>
      </c>
    </row>
    <row r="69" spans="1:8" ht="12" customHeight="1">
      <c r="A69" s="34">
        <v>3</v>
      </c>
      <c r="B69" s="32" t="str">
        <f>IF(A69=1,"20 Yard",IF(A69=2,"30 Yard",IF(A69=3,"40 Yard","")))</f>
        <v>40 Yard</v>
      </c>
      <c r="C69" s="125">
        <v>0</v>
      </c>
      <c r="D69" s="123">
        <v>0</v>
      </c>
      <c r="E69" s="136">
        <v>400</v>
      </c>
      <c r="F69" s="47">
        <v>25</v>
      </c>
      <c r="G69" s="124">
        <f>(IF(A69=1,C69*D69/12/700,IF(A69=2,C69*D69/12/1000,IF(A69=3,C69*D69/12/1400,""))))*(1+(F69/100))</f>
        <v>0</v>
      </c>
      <c r="H69" s="36">
        <f>G69*E69</f>
        <v>0</v>
      </c>
    </row>
    <row r="70" spans="1:8" ht="12" customHeight="1">
      <c r="A70" s="37"/>
      <c r="B70" s="32"/>
      <c r="C70" s="126"/>
      <c r="D70" s="46"/>
      <c r="E70" s="38"/>
      <c r="F70" s="32"/>
      <c r="G70" s="124"/>
      <c r="H70" s="36"/>
    </row>
    <row r="71" spans="1:8" ht="12" customHeight="1">
      <c r="A71" s="7" t="s">
        <v>59</v>
      </c>
      <c r="B71" s="89" t="s">
        <v>26</v>
      </c>
      <c r="C71" s="85" t="s">
        <v>60</v>
      </c>
      <c r="F71" s="32"/>
      <c r="G71" s="124"/>
      <c r="H71" s="36"/>
    </row>
    <row r="72" spans="1:8" ht="12" customHeight="1">
      <c r="A72" s="37"/>
      <c r="B72" s="32"/>
      <c r="C72" s="133" t="s">
        <v>61</v>
      </c>
      <c r="D72" s="134" t="s">
        <v>62</v>
      </c>
      <c r="E72" s="38"/>
      <c r="F72" s="89" t="s">
        <v>34</v>
      </c>
      <c r="G72" s="124"/>
      <c r="H72" s="36"/>
    </row>
    <row r="73" spans="1:8" ht="12" customHeight="1">
      <c r="A73" s="34">
        <v>1</v>
      </c>
      <c r="B73" s="32" t="str">
        <f>IF(A73=1,"Forklift",IF(A73=2,"Boom",IF(A73=3,"Scissor",IF(A73=4,"Articulating",""))))</f>
        <v>Forklift</v>
      </c>
      <c r="C73" s="125" t="s">
        <v>63</v>
      </c>
      <c r="D73" s="135">
        <v>0</v>
      </c>
      <c r="E73" s="128">
        <v>0</v>
      </c>
      <c r="F73" s="115">
        <v>20</v>
      </c>
      <c r="G73" s="124"/>
      <c r="H73" s="140">
        <f>D73*E73*(1+(F73/100))</f>
        <v>0</v>
      </c>
    </row>
    <row r="74" spans="1:8" ht="12" customHeight="1">
      <c r="A74" s="34">
        <v>1</v>
      </c>
      <c r="B74" s="32" t="str">
        <f>IF(A74=1,"Forklift",IF(A74=2,"Boom",IF(A74=3,"Scissor",IF(A74=4,"Articulating",""))))</f>
        <v>Forklift</v>
      </c>
      <c r="C74" s="125" t="s">
        <v>63</v>
      </c>
      <c r="D74" s="135">
        <v>0</v>
      </c>
      <c r="E74" s="128">
        <v>0</v>
      </c>
      <c r="F74" s="115">
        <v>20</v>
      </c>
      <c r="G74" s="124"/>
      <c r="H74" s="140">
        <f>D74*E74*(1+(F74/100))</f>
        <v>0</v>
      </c>
    </row>
    <row r="75" spans="1:8" ht="12" customHeight="1">
      <c r="A75" s="85"/>
      <c r="B75" s="32"/>
      <c r="C75" s="55"/>
      <c r="E75" s="38"/>
      <c r="F75" s="32"/>
      <c r="G75" s="51"/>
      <c r="H75" s="36"/>
    </row>
    <row r="76" spans="1:8" ht="12" customHeight="1">
      <c r="A76" s="85" t="s">
        <v>64</v>
      </c>
      <c r="B76" s="137"/>
      <c r="C76" s="55"/>
      <c r="E76" s="138">
        <v>0</v>
      </c>
      <c r="F76" s="32"/>
      <c r="G76" s="139">
        <v>0</v>
      </c>
      <c r="H76" s="36">
        <f>E76*G76</f>
        <v>0</v>
      </c>
    </row>
    <row r="77" spans="1:8" ht="12" customHeight="1">
      <c r="A77" s="85"/>
      <c r="B77" s="32"/>
      <c r="C77" s="55"/>
      <c r="E77" s="38"/>
      <c r="F77" s="32"/>
      <c r="G77" s="51"/>
      <c r="H77" s="36"/>
    </row>
    <row r="78" spans="1:8" ht="12" customHeight="1">
      <c r="C78" s="89" t="s">
        <v>44</v>
      </c>
      <c r="D78" s="89" t="s">
        <v>65</v>
      </c>
    </row>
    <row r="79" spans="1:8" ht="12" customHeight="1">
      <c r="A79" s="85" t="s">
        <v>66</v>
      </c>
      <c r="B79" s="106"/>
      <c r="C79" s="33">
        <v>0</v>
      </c>
      <c r="D79" s="107">
        <v>0</v>
      </c>
      <c r="E79" s="127">
        <v>5</v>
      </c>
      <c r="G79" s="89"/>
      <c r="H79" s="73">
        <f>C79*E79</f>
        <v>0</v>
      </c>
    </row>
    <row r="80" spans="1:8" ht="12" customHeight="1">
      <c r="C80" s="89"/>
      <c r="G80" s="89"/>
    </row>
    <row r="81" spans="1:8" ht="12" customHeight="1">
      <c r="C81" s="89" t="s">
        <v>44</v>
      </c>
      <c r="G81" s="89"/>
    </row>
    <row r="82" spans="1:8" ht="12" customHeight="1">
      <c r="A82" s="85" t="s">
        <v>67</v>
      </c>
      <c r="B82" s="52"/>
      <c r="C82" s="53">
        <v>0</v>
      </c>
      <c r="E82" s="44">
        <v>0</v>
      </c>
      <c r="F82" s="32"/>
      <c r="G82" s="38"/>
      <c r="H82" s="36">
        <f>C82*E82</f>
        <v>0</v>
      </c>
    </row>
    <row r="83" spans="1:8" ht="12" customHeight="1">
      <c r="C83" s="89"/>
    </row>
    <row r="84" spans="1:8" ht="12" customHeight="1">
      <c r="A84" s="85" t="s">
        <v>68</v>
      </c>
      <c r="B84" s="25"/>
      <c r="C84" s="103">
        <v>0</v>
      </c>
      <c r="E84" s="44">
        <v>0</v>
      </c>
      <c r="H84" s="36">
        <f>C84*E84</f>
        <v>0</v>
      </c>
    </row>
    <row r="85" spans="1:8" ht="12" customHeight="1">
      <c r="A85" s="85"/>
    </row>
    <row r="86" spans="1:8" ht="12" customHeight="1">
      <c r="A86" s="85" t="s">
        <v>69</v>
      </c>
      <c r="B86" s="23"/>
      <c r="C86" s="100">
        <v>0</v>
      </c>
      <c r="E86" s="44">
        <v>0</v>
      </c>
      <c r="F86" s="32"/>
      <c r="G86" s="99"/>
      <c r="H86" s="36">
        <f>C86*E86</f>
        <v>0</v>
      </c>
    </row>
    <row r="87" spans="1:8" ht="12" customHeight="1">
      <c r="A87"/>
      <c r="B87"/>
      <c r="C87"/>
      <c r="D87"/>
      <c r="E87"/>
      <c r="F87"/>
      <c r="G87"/>
      <c r="H87"/>
    </row>
    <row r="88" spans="1:8" ht="12" customHeight="1">
      <c r="A88" s="102" t="s">
        <v>70</v>
      </c>
      <c r="B88" s="101"/>
      <c r="D88"/>
      <c r="E88" s="44">
        <v>0</v>
      </c>
      <c r="F88"/>
      <c r="G88" s="109">
        <v>0</v>
      </c>
      <c r="H88" s="36">
        <f>G88*E88</f>
        <v>0</v>
      </c>
    </row>
    <row r="89" spans="1:8" ht="12" customHeight="1">
      <c r="A89" s="102"/>
      <c r="B89"/>
      <c r="D89"/>
      <c r="E89"/>
      <c r="F89"/>
      <c r="G89" s="93"/>
      <c r="H89"/>
    </row>
    <row r="90" spans="1:8" ht="12" customHeight="1">
      <c r="A90" s="102" t="s">
        <v>71</v>
      </c>
      <c r="B90" s="23"/>
      <c r="E90" s="44">
        <v>0</v>
      </c>
      <c r="F90"/>
      <c r="G90" s="109">
        <v>0</v>
      </c>
      <c r="H90" s="36">
        <f>G90*E90</f>
        <v>0</v>
      </c>
    </row>
    <row r="91" spans="1:8" ht="12" customHeight="1">
      <c r="A91"/>
      <c r="B91"/>
      <c r="D91"/>
      <c r="E91"/>
      <c r="F91"/>
      <c r="G91"/>
      <c r="H91"/>
    </row>
    <row r="92" spans="1:8" ht="12" customHeight="1">
      <c r="A92" s="102" t="s">
        <v>72</v>
      </c>
      <c r="B92" s="23"/>
      <c r="E92" s="44">
        <v>0</v>
      </c>
      <c r="F92"/>
      <c r="G92" s="109">
        <v>0</v>
      </c>
      <c r="H92" s="36">
        <f>G92*E92</f>
        <v>0</v>
      </c>
    </row>
    <row r="93" spans="1:8" ht="12" customHeight="1">
      <c r="A93" s="102"/>
      <c r="B93"/>
      <c r="D93"/>
      <c r="E93"/>
      <c r="F93"/>
      <c r="G93"/>
      <c r="H93"/>
    </row>
    <row r="94" spans="1:8" ht="12" customHeight="1">
      <c r="A94" s="102" t="s">
        <v>73</v>
      </c>
      <c r="B94" s="101"/>
      <c r="E94" s="44">
        <v>0</v>
      </c>
      <c r="F94"/>
      <c r="G94" s="109">
        <v>0</v>
      </c>
      <c r="H94" s="36">
        <f>G94*E94</f>
        <v>0</v>
      </c>
    </row>
    <row r="95" spans="1:8" ht="12" customHeight="1">
      <c r="A95" s="102"/>
      <c r="B95"/>
      <c r="D95"/>
      <c r="E95"/>
      <c r="F95"/>
      <c r="G95"/>
      <c r="H95"/>
    </row>
    <row r="96" spans="1:8" ht="12" customHeight="1">
      <c r="A96" s="102" t="s">
        <v>74</v>
      </c>
      <c r="B96" s="23"/>
      <c r="E96" s="44">
        <v>0</v>
      </c>
      <c r="F96"/>
      <c r="G96" s="109">
        <v>0</v>
      </c>
      <c r="H96" s="36">
        <f>G96*E96</f>
        <v>0</v>
      </c>
    </row>
    <row r="98" spans="1:8" ht="12" customHeight="1">
      <c r="C98" s="89" t="s">
        <v>75</v>
      </c>
    </row>
    <row r="99" spans="1:8" ht="12" customHeight="1">
      <c r="A99" s="85" t="s">
        <v>76</v>
      </c>
      <c r="B99" s="54"/>
      <c r="C99" s="53"/>
      <c r="E99" s="44">
        <v>50</v>
      </c>
      <c r="F99" s="32"/>
      <c r="G99" s="51"/>
      <c r="H99" s="36">
        <f>C99*E99</f>
        <v>0</v>
      </c>
    </row>
    <row r="101" spans="1:8" ht="12" customHeight="1">
      <c r="A101" s="85" t="s">
        <v>77</v>
      </c>
      <c r="B101" s="24"/>
      <c r="C101" s="55"/>
      <c r="E101" s="44">
        <v>0</v>
      </c>
      <c r="F101" s="32"/>
      <c r="H101" s="36">
        <f>E101</f>
        <v>0</v>
      </c>
    </row>
    <row r="103" spans="1:8" ht="12" customHeight="1">
      <c r="A103" s="85" t="s">
        <v>78</v>
      </c>
      <c r="B103" s="23"/>
      <c r="C103" s="55"/>
      <c r="E103" s="44">
        <v>0</v>
      </c>
      <c r="F103" s="32"/>
      <c r="H103" s="36">
        <f>E103</f>
        <v>0</v>
      </c>
    </row>
    <row r="104" spans="1:8" ht="12" customHeight="1">
      <c r="A104" s="85"/>
      <c r="B104" s="111"/>
      <c r="C104" s="55"/>
      <c r="E104"/>
      <c r="F104" s="32"/>
      <c r="G104" s="51"/>
      <c r="H104" s="36"/>
    </row>
    <row r="105" spans="1:8" ht="12" customHeight="1">
      <c r="A105"/>
      <c r="B105" s="93" t="s">
        <v>79</v>
      </c>
      <c r="C105" s="93" t="s">
        <v>80</v>
      </c>
      <c r="D105"/>
      <c r="E105"/>
      <c r="F105"/>
      <c r="G105"/>
      <c r="H105"/>
    </row>
    <row r="106" spans="1:8" ht="12" customHeight="1">
      <c r="A106" s="85" t="s">
        <v>81</v>
      </c>
      <c r="B106" s="56"/>
      <c r="C106" s="53"/>
      <c r="D106" s="18"/>
      <c r="E106" s="44">
        <v>0.75</v>
      </c>
      <c r="F106" s="32"/>
      <c r="G106" s="51"/>
      <c r="H106" s="36">
        <f>B106*C106*E106</f>
        <v>0</v>
      </c>
    </row>
    <row r="108" spans="1:8" ht="12" customHeight="1">
      <c r="A108" s="85" t="s">
        <v>82</v>
      </c>
      <c r="B108" s="56"/>
      <c r="C108" s="53"/>
      <c r="D108" s="18"/>
      <c r="E108" s="44">
        <v>1.25</v>
      </c>
      <c r="F108" s="32"/>
      <c r="G108" s="51"/>
      <c r="H108" s="36">
        <f>B108*C108*E108</f>
        <v>0</v>
      </c>
    </row>
    <row r="109" spans="1:8" ht="12" customHeight="1">
      <c r="A109" s="31"/>
      <c r="B109" s="31"/>
      <c r="C109" s="32"/>
      <c r="D109" s="32"/>
      <c r="E109" s="32"/>
      <c r="F109" s="32"/>
      <c r="G109" s="32"/>
      <c r="H109" s="31" t="s">
        <v>83</v>
      </c>
    </row>
    <row r="110" spans="1:8" ht="12" customHeight="1">
      <c r="B110" s="29"/>
      <c r="F110" s="57"/>
      <c r="G110" s="58" t="s">
        <v>84</v>
      </c>
      <c r="H110" s="59">
        <f>SUM(H19:H108)</f>
        <v>0</v>
      </c>
    </row>
    <row r="111" spans="1:8" ht="12" customHeight="1">
      <c r="B111" s="29"/>
      <c r="E111" s="18"/>
      <c r="F111" s="58" t="s">
        <v>85</v>
      </c>
      <c r="G111" s="86">
        <v>0.06</v>
      </c>
      <c r="H111" s="59">
        <f>(H110*G111)</f>
        <v>0</v>
      </c>
    </row>
    <row r="112" spans="1:8" ht="12" customHeight="1">
      <c r="A112" s="85" t="s">
        <v>86</v>
      </c>
    </row>
    <row r="113" spans="1:18" ht="12.75" customHeight="1">
      <c r="A113" s="31" t="s">
        <v>17</v>
      </c>
      <c r="B113" s="31"/>
    </row>
    <row r="114" spans="1:18" ht="36.75" customHeight="1">
      <c r="B114" s="60" t="s">
        <v>87</v>
      </c>
      <c r="C114" s="60" t="s">
        <v>88</v>
      </c>
      <c r="D114" s="60" t="s">
        <v>89</v>
      </c>
      <c r="E114" s="60" t="s">
        <v>90</v>
      </c>
      <c r="F114" s="60" t="s">
        <v>91</v>
      </c>
      <c r="G114" s="60" t="s">
        <v>92</v>
      </c>
      <c r="H114" s="60" t="s">
        <v>22</v>
      </c>
      <c r="J114" s="60" t="s">
        <v>93</v>
      </c>
    </row>
    <row r="115" spans="1:18" ht="12" customHeight="1">
      <c r="D115" s="89"/>
      <c r="F115" s="89"/>
    </row>
    <row r="116" spans="1:18" ht="12" customHeight="1">
      <c r="A116" s="85" t="s">
        <v>94</v>
      </c>
      <c r="B116" s="61"/>
      <c r="C116" s="43"/>
      <c r="D116" s="62">
        <f>(B116*People!B11)*C116</f>
        <v>0</v>
      </c>
      <c r="E116" s="63"/>
      <c r="F116" s="64"/>
      <c r="G116" s="65">
        <f>(E116+F116)*People!C3</f>
        <v>0</v>
      </c>
      <c r="H116" s="66">
        <f>IF(G116=0, B116*J116, D116*G116)</f>
        <v>0</v>
      </c>
      <c r="J116" s="67">
        <f>IF(C116=1,People!$D$12)+IF(C116=2,People!$E$12)+IF(C116=3,People!$F$12)+IF(C116=4,People!$G$12)+IF(C116=5,People!$H$12)+IF(C116=6,People!$I$12)+IF(C116=7,People!$J$12)+IF(C116=8,People!$K$12)</f>
        <v>0</v>
      </c>
      <c r="K116" s="68"/>
    </row>
    <row r="117" spans="1:18" ht="12" customHeight="1">
      <c r="B117" s="32"/>
      <c r="C117" s="28"/>
      <c r="E117" s="89"/>
      <c r="J117" s="69"/>
      <c r="K117" s="68"/>
    </row>
    <row r="118" spans="1:18" ht="12" customHeight="1">
      <c r="A118" s="85" t="s">
        <v>95</v>
      </c>
      <c r="B118" s="70"/>
      <c r="C118" s="43"/>
      <c r="D118" s="62">
        <f>(B118*People!B11)*C118</f>
        <v>0</v>
      </c>
      <c r="E118" s="63"/>
      <c r="F118" s="71"/>
      <c r="G118" s="65">
        <f>(E118+F118)*People!C3</f>
        <v>0</v>
      </c>
      <c r="H118" s="66">
        <f>IF(G118=0, B118*J118, D118*G118)</f>
        <v>0</v>
      </c>
      <c r="J118" s="67">
        <f>IF(C118=1,People!$D$12)+IF(C118=2,People!$E$12)+IF(C118=3,People!$F$12)+IF(C118=4,People!$G$12)+IF(C118=5,People!$H$12)+IF(C118=6,People!$I$12)+IF(C118=7,People!$J$12)+IF(C118=8,People!$K$12)</f>
        <v>0</v>
      </c>
      <c r="K118" s="68"/>
    </row>
    <row r="119" spans="1:18" ht="12" customHeight="1">
      <c r="B119" s="89"/>
      <c r="C119" s="28"/>
      <c r="J119" s="69"/>
      <c r="K119" s="68"/>
      <c r="R119" s="17" t="s">
        <v>96</v>
      </c>
    </row>
    <row r="120" spans="1:18" ht="12" customHeight="1">
      <c r="A120" s="85" t="s">
        <v>97</v>
      </c>
      <c r="B120" s="70"/>
      <c r="C120" s="43"/>
      <c r="D120" s="62">
        <f>(B120*People!B11)*C120</f>
        <v>0</v>
      </c>
      <c r="E120" s="63"/>
      <c r="F120" s="71"/>
      <c r="G120" s="65">
        <f>(E120+F120)*People!C3</f>
        <v>0</v>
      </c>
      <c r="H120" s="66">
        <f>IF(G120=0, B120*J120, D120*G120)</f>
        <v>0</v>
      </c>
      <c r="J120" s="67">
        <f>IF(C120=1,People!$D$12)+IF(C120=2,People!$E$12)+IF(C120=3,People!$F$12)+IF(C120=4,People!$G$12)+IF(C120=5,People!$H$12)+IF(C120=6,People!$I$12)+IF(C120=7,People!$J$12)+IF(C120=8,People!$K$12)</f>
        <v>0</v>
      </c>
      <c r="K120" s="68"/>
    </row>
    <row r="121" spans="1:18" ht="12" customHeight="1">
      <c r="B121" s="89"/>
      <c r="C121" s="28"/>
      <c r="J121" s="69"/>
      <c r="K121" s="68"/>
    </row>
    <row r="122" spans="1:18" ht="12" customHeight="1">
      <c r="A122" s="85" t="s">
        <v>98</v>
      </c>
      <c r="B122" s="70"/>
      <c r="C122" s="43"/>
      <c r="D122" s="62">
        <f>(B122*People!B11)*C122</f>
        <v>0</v>
      </c>
      <c r="E122" s="63"/>
      <c r="F122" s="71"/>
      <c r="G122" s="65">
        <f>(E122+F122)*People!C3</f>
        <v>0</v>
      </c>
      <c r="H122" s="66">
        <f>IF(G122=0, B122*J122, D122*G122)</f>
        <v>0</v>
      </c>
      <c r="J122" s="67">
        <f>IF(C122=1,People!$D$12)+IF(C122=2,People!$E$12)+IF(C122=3,People!$F$12)+IF(C122=4,People!$G$12)+IF(C122=5,People!$H$12)+IF(C122=6,People!$I$12)+IF(C122=7,People!$J$12)+IF(C122=8,People!$K$12)</f>
        <v>0</v>
      </c>
      <c r="K122" s="68"/>
    </row>
    <row r="123" spans="1:18" ht="12" customHeight="1">
      <c r="B123" s="89"/>
      <c r="C123" s="28"/>
      <c r="J123" s="69"/>
    </row>
    <row r="124" spans="1:18" ht="12" customHeight="1">
      <c r="A124" s="85" t="s">
        <v>99</v>
      </c>
      <c r="B124" s="70"/>
      <c r="C124" s="43"/>
      <c r="D124" s="62">
        <f>(B124*People!B11)*C124</f>
        <v>0</v>
      </c>
      <c r="E124" s="63"/>
      <c r="F124" s="71"/>
      <c r="G124" s="65">
        <f>(E124+F124)*People!C3</f>
        <v>0</v>
      </c>
      <c r="H124" s="66">
        <f>IF(G124=0, B124*J124, D124*G124)</f>
        <v>0</v>
      </c>
      <c r="J124" s="67">
        <f>IF(C124=1,People!$D$12)+IF(C124=2,People!$E$12)+IF(C124=3,People!$F$12)+IF(C124=4,People!$G$12)+IF(C124=5,People!$H$12)+IF(C124=6,People!$I$12)+IF(C124=7,People!$J$12)+IF(C124=8,People!$K$12)</f>
        <v>0</v>
      </c>
    </row>
    <row r="125" spans="1:18" ht="12" customHeight="1">
      <c r="B125" s="89"/>
      <c r="C125" s="28"/>
      <c r="J125" s="69"/>
    </row>
    <row r="126" spans="1:18" ht="12" customHeight="1">
      <c r="A126" s="85" t="s">
        <v>100</v>
      </c>
      <c r="B126" s="70"/>
      <c r="C126" s="43"/>
      <c r="D126" s="62">
        <f>(B126*People!B11)*C126</f>
        <v>0</v>
      </c>
      <c r="E126" s="63"/>
      <c r="F126" s="71"/>
      <c r="G126" s="65">
        <f>(E126+F126)*People!C3</f>
        <v>0</v>
      </c>
      <c r="H126" s="66">
        <f>IF(G126=0, B126*J126, D126*G126)</f>
        <v>0</v>
      </c>
      <c r="J126" s="67">
        <f>IF(C126=1,People!$D$12)+IF(C126=2,People!$E$12)+IF(C126=3,People!$F$12)+IF(C126=4,People!$G$12)+IF(C126=5,People!$H$12)+IF(C126=6,People!$I$12)+IF(C126=7,People!$J$12)+IF(C126=8,People!$K$12)</f>
        <v>0</v>
      </c>
    </row>
    <row r="127" spans="1:18" ht="12" customHeight="1">
      <c r="A127"/>
      <c r="B127"/>
      <c r="C127"/>
      <c r="D127"/>
      <c r="E127"/>
      <c r="F127"/>
      <c r="G127"/>
      <c r="H127"/>
      <c r="J127" s="67"/>
    </row>
    <row r="128" spans="1:18" ht="12" customHeight="1">
      <c r="A128" s="85" t="s">
        <v>101</v>
      </c>
      <c r="B128" s="70"/>
      <c r="C128" s="43"/>
      <c r="D128" s="62">
        <f>(B128*People!B11)*C128</f>
        <v>0</v>
      </c>
      <c r="E128" s="63"/>
      <c r="F128" s="71"/>
      <c r="G128" s="65">
        <f>(E128+F128)*People!C3</f>
        <v>0</v>
      </c>
      <c r="H128" s="66">
        <f>IF(G128=0, B128*J128, D128*G128)</f>
        <v>0</v>
      </c>
      <c r="J128" s="67">
        <f>IF(C128=1,People!$D$12)+IF(C128=2,People!$E$12)+IF(C128=3,People!$F$12)+IF(C128=4,People!$G$12)+IF(C128=5,People!$H$12)+IF(C128=6,People!$I$12)+IF(C128=7,People!$J$12)+IF(C128=8,People!$K$12)</f>
        <v>0</v>
      </c>
    </row>
    <row r="129" spans="1:10" ht="12" customHeight="1">
      <c r="B129" s="89"/>
      <c r="C129" s="28"/>
    </row>
    <row r="130" spans="1:10" ht="12" customHeight="1">
      <c r="A130" s="85" t="s">
        <v>102</v>
      </c>
      <c r="B130" s="70"/>
      <c r="C130" s="43"/>
      <c r="D130" s="62">
        <f>(B130*People!B11)*C130</f>
        <v>0</v>
      </c>
      <c r="E130" s="63"/>
      <c r="F130" s="71"/>
      <c r="G130" s="65">
        <f>(E130+F130)*People!C3</f>
        <v>0</v>
      </c>
      <c r="H130" s="66">
        <f>IF(G130=0, B130*J130, D130*G130)</f>
        <v>0</v>
      </c>
      <c r="J130" s="67">
        <f>IF(C130=1,People!$D$12)+IF(C130=2,People!$E$12)+IF(C130=3,People!$F$12)+IF(C130=4,People!$G$12)+IF(C130=5,People!$H$12)+IF(C130=6,People!$I$12)+IF(C130=7,People!$J$12)+IF(C130=8,People!$K$12)</f>
        <v>0</v>
      </c>
    </row>
    <row r="131" spans="1:10" ht="12" customHeight="1">
      <c r="B131" s="89"/>
      <c r="C131" s="28"/>
    </row>
    <row r="132" spans="1:10" ht="12" customHeight="1">
      <c r="A132" s="85" t="s">
        <v>103</v>
      </c>
      <c r="B132" s="70"/>
      <c r="C132" s="43"/>
      <c r="D132" s="62">
        <f>(B132*People!B11)*C132</f>
        <v>0</v>
      </c>
      <c r="E132" s="63"/>
      <c r="F132" s="71"/>
      <c r="G132" s="65">
        <f>(E132+F132)*People!C3</f>
        <v>0</v>
      </c>
      <c r="H132" s="66">
        <f>IF(G132=0, B132*J132, D132*G132)</f>
        <v>0</v>
      </c>
      <c r="J132" s="67">
        <f>IF(C132=1,People!$D$12)+IF(C132=2,People!$E$12)+IF(C132=3,People!$F$12)+IF(C132=4,People!$G$12)+IF(C132=5,People!$H$12)+IF(C132=6,People!$I$12)+IF(C132=7,People!$J$12)+IF(C132=8,People!$K$12)</f>
        <v>0</v>
      </c>
    </row>
    <row r="133" spans="1:10" ht="12" customHeight="1">
      <c r="B133" s="89"/>
      <c r="C133" s="28"/>
    </row>
    <row r="134" spans="1:10" ht="12" customHeight="1">
      <c r="A134" s="85"/>
      <c r="B134" s="70"/>
      <c r="C134" s="43"/>
      <c r="D134" s="62">
        <f>(B134*People!B11)*C134</f>
        <v>0</v>
      </c>
      <c r="E134" s="63"/>
      <c r="F134" s="71"/>
      <c r="G134" s="65">
        <f>(E134+F134)*People!C3</f>
        <v>0</v>
      </c>
      <c r="H134" s="66">
        <f>IF(G134=0, B134*J134, D134*G134)</f>
        <v>0</v>
      </c>
      <c r="J134" s="67">
        <f>IF(C134=1,People!$D$12)+IF(C134=2,People!$E$12)+IF(C134=3,People!$F$12)+IF(C134=4,People!$G$12)+IF(C134=5,People!$H$12)+IF(C134=6,People!$I$12)+IF(C134=7,People!$J$12)+IF(C134=8,People!$K$12)</f>
        <v>0</v>
      </c>
    </row>
    <row r="135" spans="1:10" ht="12" customHeight="1">
      <c r="A135" s="85"/>
      <c r="B135"/>
      <c r="C135"/>
      <c r="D135"/>
      <c r="E135"/>
      <c r="F135"/>
      <c r="G135" s="65"/>
      <c r="H135" s="66"/>
      <c r="J135" s="67"/>
    </row>
    <row r="136" spans="1:10" ht="12" customHeight="1">
      <c r="B136" s="89"/>
      <c r="C136" s="89" t="s">
        <v>104</v>
      </c>
      <c r="E136" s="93" t="s">
        <v>88</v>
      </c>
      <c r="G136" s="89" t="s">
        <v>105</v>
      </c>
    </row>
    <row r="137" spans="1:10" ht="12" customHeight="1">
      <c r="A137" s="85" t="s">
        <v>106</v>
      </c>
      <c r="B137"/>
      <c r="C137" s="152"/>
      <c r="D137" s="96"/>
      <c r="E137" s="33"/>
      <c r="F137" s="95"/>
      <c r="G137" s="128">
        <v>25.5</v>
      </c>
      <c r="H137" s="114">
        <f>C137*E137*G137*B108</f>
        <v>0</v>
      </c>
    </row>
    <row r="138" spans="1:10" ht="12" customHeight="1">
      <c r="A138" s="85"/>
      <c r="B138"/>
      <c r="C138"/>
      <c r="D138" s="62"/>
      <c r="E138"/>
      <c r="F138"/>
      <c r="G138" s="65"/>
      <c r="H138" s="66"/>
    </row>
    <row r="139" spans="1:10" ht="12" customHeight="1">
      <c r="A139" s="85" t="s">
        <v>107</v>
      </c>
      <c r="C139" s="118"/>
      <c r="D139" s="45"/>
      <c r="E139" s="119"/>
      <c r="F139" s="37"/>
      <c r="G139" s="97">
        <v>14.25</v>
      </c>
      <c r="H139" s="114">
        <f>C139*E139*G139*B108</f>
        <v>0</v>
      </c>
    </row>
    <row r="140" spans="1:10" ht="12" customHeight="1">
      <c r="A140" s="85"/>
      <c r="B140"/>
      <c r="C140"/>
      <c r="D140"/>
      <c r="E140"/>
      <c r="F140"/>
      <c r="G140"/>
      <c r="H140" s="49"/>
    </row>
    <row r="141" spans="1:10" ht="12" customHeight="1">
      <c r="A141" s="85"/>
      <c r="B141"/>
      <c r="C141" s="93" t="s">
        <v>108</v>
      </c>
      <c r="D141"/>
      <c r="E141"/>
      <c r="F141"/>
      <c r="G141"/>
      <c r="H141" s="49"/>
    </row>
    <row r="142" spans="1:10" ht="12" customHeight="1">
      <c r="A142" s="85" t="s">
        <v>109</v>
      </c>
      <c r="B142"/>
      <c r="C142" s="144">
        <v>0</v>
      </c>
      <c r="D142"/>
      <c r="E142" s="143">
        <v>0</v>
      </c>
      <c r="F142"/>
      <c r="G142" s="146">
        <v>100</v>
      </c>
      <c r="H142" s="49">
        <f>C142*E142*G142</f>
        <v>0</v>
      </c>
    </row>
    <row r="143" spans="1:10" ht="12" customHeight="1">
      <c r="A143" s="85"/>
      <c r="B143"/>
      <c r="D143" s="145"/>
      <c r="E143"/>
      <c r="F143"/>
      <c r="G143"/>
      <c r="H143" s="49"/>
    </row>
    <row r="144" spans="1:10" ht="12" customHeight="1">
      <c r="A144" s="85"/>
      <c r="B144"/>
      <c r="C144" s="93" t="s">
        <v>75</v>
      </c>
      <c r="D144"/>
      <c r="E144"/>
      <c r="F144"/>
      <c r="G144"/>
      <c r="H144" s="49"/>
    </row>
    <row r="145" spans="1:8" ht="12" customHeight="1">
      <c r="A145" s="85" t="s">
        <v>110</v>
      </c>
      <c r="C145" s="50">
        <v>0</v>
      </c>
      <c r="D145" s="45"/>
      <c r="E145" s="50">
        <v>0</v>
      </c>
      <c r="F145" s="37"/>
      <c r="G145" s="97">
        <v>125</v>
      </c>
      <c r="H145" s="114">
        <f>C145*E145*G145</f>
        <v>0</v>
      </c>
    </row>
    <row r="147" spans="1:8" ht="12" customHeight="1">
      <c r="A147" s="31" t="s">
        <v>17</v>
      </c>
      <c r="B147" s="31"/>
      <c r="C147" s="32"/>
      <c r="D147" s="32"/>
      <c r="E147" s="32"/>
      <c r="F147" s="32"/>
      <c r="G147" s="32"/>
      <c r="H147" s="31" t="s">
        <v>17</v>
      </c>
    </row>
    <row r="148" spans="1:8" ht="12" customHeight="1">
      <c r="A148" s="72" t="s">
        <v>89</v>
      </c>
      <c r="B148" s="46">
        <f>D116+D118+D120+D122+D124+D126+D128+D130+D132+D134+(C142*E142)+((C137*E137)+(C139*E139))*B108</f>
        <v>0</v>
      </c>
      <c r="C148" s="72" t="s">
        <v>111</v>
      </c>
      <c r="D148" s="73">
        <f>SUM(B116:B137)</f>
        <v>0</v>
      </c>
      <c r="E148" s="57"/>
      <c r="F148" s="57"/>
      <c r="G148" s="58" t="s">
        <v>112</v>
      </c>
      <c r="H148" s="59">
        <f>SUM(H116:H145)</f>
        <v>0</v>
      </c>
    </row>
    <row r="150" spans="1:8" ht="12" customHeight="1">
      <c r="A150" s="85" t="s">
        <v>113</v>
      </c>
      <c r="G150" s="112"/>
      <c r="H150" s="36"/>
    </row>
    <row r="151" spans="1:8" ht="12" customHeight="1">
      <c r="A151" s="31" t="s">
        <v>17</v>
      </c>
      <c r="B151" s="31"/>
      <c r="C151" s="31"/>
    </row>
    <row r="152" spans="1:8" ht="12" customHeight="1">
      <c r="A152" s="85"/>
      <c r="B152" s="85" t="s">
        <v>114</v>
      </c>
      <c r="C152" s="85" t="s">
        <v>115</v>
      </c>
      <c r="D152" s="85" t="s">
        <v>18</v>
      </c>
      <c r="E152" s="85" t="s">
        <v>19</v>
      </c>
      <c r="F152" s="85" t="s">
        <v>116</v>
      </c>
      <c r="H152" s="151" t="s">
        <v>22</v>
      </c>
    </row>
    <row r="153" spans="1:8" ht="12" customHeight="1">
      <c r="A153" s="85"/>
      <c r="B153" s="85"/>
      <c r="C153" s="85"/>
      <c r="D153" s="85"/>
      <c r="E153" s="85"/>
      <c r="F153" s="85"/>
    </row>
    <row r="154" spans="1:8" ht="12" customHeight="1">
      <c r="A154" s="85" t="s">
        <v>117</v>
      </c>
      <c r="B154" s="52"/>
      <c r="C154" s="74">
        <v>15</v>
      </c>
      <c r="D154" s="75" t="s">
        <v>118</v>
      </c>
      <c r="E154" s="76">
        <f>C12</f>
        <v>0</v>
      </c>
      <c r="F154" s="77">
        <v>0</v>
      </c>
      <c r="H154" s="36">
        <f>E154*F154</f>
        <v>0</v>
      </c>
    </row>
    <row r="156" spans="1:8" ht="12" customHeight="1">
      <c r="A156" s="85" t="s">
        <v>119</v>
      </c>
      <c r="E156" s="153" t="s">
        <v>22</v>
      </c>
      <c r="F156" s="78">
        <v>0</v>
      </c>
      <c r="H156" s="36">
        <f>F156</f>
        <v>0</v>
      </c>
    </row>
    <row r="158" spans="1:8" ht="12" customHeight="1">
      <c r="A158" s="85" t="s">
        <v>120</v>
      </c>
      <c r="B158" s="79" t="s">
        <v>121</v>
      </c>
      <c r="C158" s="79"/>
      <c r="D158" s="79"/>
      <c r="E158" s="153" t="s">
        <v>22</v>
      </c>
      <c r="F158" s="78">
        <v>0</v>
      </c>
      <c r="H158" s="36">
        <f>F158</f>
        <v>0</v>
      </c>
    </row>
    <row r="160" spans="1:8" ht="12" customHeight="1">
      <c r="A160" s="31"/>
      <c r="B160" s="31"/>
      <c r="C160" s="32"/>
      <c r="D160" s="32"/>
      <c r="E160" s="32"/>
      <c r="F160" s="32"/>
      <c r="G160" s="32"/>
      <c r="H160" s="31" t="s">
        <v>17</v>
      </c>
    </row>
    <row r="161" spans="1:8" ht="12" customHeight="1">
      <c r="B161" s="29"/>
      <c r="C161" s="29"/>
      <c r="D161" s="154"/>
      <c r="E161" s="155"/>
      <c r="F161" s="155"/>
      <c r="G161" s="58" t="s">
        <v>122</v>
      </c>
      <c r="H161" s="156">
        <f>SUM(H154+H156+H158)</f>
        <v>0</v>
      </c>
    </row>
    <row r="162" spans="1:8" ht="12" customHeight="1">
      <c r="A162" s="31"/>
      <c r="B162" s="31"/>
      <c r="C162" s="32"/>
      <c r="D162" s="32"/>
      <c r="E162" s="32"/>
      <c r="F162" s="32"/>
      <c r="G162" s="32"/>
      <c r="H162" s="31" t="s">
        <v>17</v>
      </c>
    </row>
    <row r="163" spans="1:8" ht="12" customHeight="1">
      <c r="A163" s="7" t="s">
        <v>123</v>
      </c>
      <c r="C163" s="32"/>
      <c r="D163" s="29"/>
      <c r="H163" s="87">
        <f>H110+H148+H161</f>
        <v>0</v>
      </c>
    </row>
    <row r="165" spans="1:8" ht="12" customHeight="1">
      <c r="A165" s="7" t="s">
        <v>124</v>
      </c>
      <c r="E165" s="112" t="s">
        <v>125</v>
      </c>
      <c r="F165" s="47">
        <v>35</v>
      </c>
      <c r="H165" s="131">
        <f>H163*(F165/100)</f>
        <v>0</v>
      </c>
    </row>
    <row r="166" spans="1:8" ht="12" customHeight="1">
      <c r="H166" s="80"/>
    </row>
    <row r="167" spans="1:8" ht="12" customHeight="1">
      <c r="A167" s="7" t="s">
        <v>126</v>
      </c>
      <c r="E167" s="112" t="s">
        <v>125</v>
      </c>
      <c r="F167" s="47">
        <v>15</v>
      </c>
      <c r="H167" s="132">
        <f>(H163+H165)*(F167/100)</f>
        <v>0</v>
      </c>
    </row>
    <row r="168" spans="1:8" ht="12" customHeight="1">
      <c r="H168" s="31" t="s">
        <v>17</v>
      </c>
    </row>
    <row r="169" spans="1:8" ht="12" customHeight="1">
      <c r="A169" s="7" t="s">
        <v>127</v>
      </c>
      <c r="H169" s="87">
        <f>H111+H163+H165+H167</f>
        <v>0</v>
      </c>
    </row>
    <row r="170" spans="1:8" ht="12" customHeight="1">
      <c r="A170" s="7" t="s">
        <v>128</v>
      </c>
      <c r="F170" s="150"/>
      <c r="H170" s="130">
        <f>H169+SUM(F172:F188)</f>
        <v>0</v>
      </c>
    </row>
    <row r="171" spans="1:8" ht="12" customHeight="1">
      <c r="H171" s="31" t="s">
        <v>17</v>
      </c>
    </row>
    <row r="172" spans="1:8" s="81" customFormat="1" ht="12" customHeight="1">
      <c r="A172" s="17"/>
      <c r="B172" s="17"/>
      <c r="C172" s="17"/>
      <c r="D172" s="17"/>
      <c r="E172" s="17"/>
      <c r="F172" s="17"/>
      <c r="G172" s="17"/>
      <c r="H172" s="31"/>
    </row>
    <row r="173" spans="1:8" ht="12" customHeight="1">
      <c r="A173" s="85" t="s">
        <v>129</v>
      </c>
      <c r="F173" s="88"/>
      <c r="G173" s="149"/>
      <c r="H173" s="31"/>
    </row>
    <row r="174" spans="1:8" ht="12" customHeight="1">
      <c r="A174" s="85" t="s">
        <v>130</v>
      </c>
      <c r="F174" s="83"/>
      <c r="H174" s="31"/>
    </row>
    <row r="175" spans="1:8" ht="12" customHeight="1">
      <c r="A175" s="85" t="s">
        <v>131</v>
      </c>
      <c r="B175" s="81"/>
      <c r="C175" s="81"/>
      <c r="D175" s="81"/>
      <c r="E175" s="81"/>
      <c r="F175" s="82"/>
      <c r="G175" s="81"/>
      <c r="H175" s="81"/>
    </row>
    <row r="176" spans="1:8" ht="12" customHeight="1">
      <c r="A176" s="85" t="s">
        <v>132</v>
      </c>
      <c r="B176" s="85"/>
      <c r="F176" s="83"/>
      <c r="H176" s="31"/>
    </row>
    <row r="177" spans="1:9" s="81" customFormat="1" ht="12" customHeight="1">
      <c r="A177" s="85" t="s">
        <v>133</v>
      </c>
      <c r="B177" s="85"/>
      <c r="C177" s="17"/>
      <c r="D177" s="17"/>
      <c r="E177" s="17"/>
      <c r="F177" s="83"/>
      <c r="G177" s="17"/>
      <c r="H177" s="31"/>
    </row>
    <row r="178" spans="1:9" ht="12" customHeight="1">
      <c r="A178" s="85" t="s">
        <v>133</v>
      </c>
      <c r="B178" s="85"/>
      <c r="F178" s="83"/>
      <c r="H178" s="31"/>
    </row>
    <row r="179" spans="1:9" ht="12" customHeight="1">
      <c r="A179" s="85" t="s">
        <v>133</v>
      </c>
      <c r="B179" s="85"/>
      <c r="F179" s="83"/>
      <c r="H179" s="31"/>
    </row>
    <row r="180" spans="1:9" ht="12" customHeight="1">
      <c r="A180" s="85" t="s">
        <v>133</v>
      </c>
      <c r="F180" s="88"/>
      <c r="G180" s="81"/>
      <c r="H180" s="81"/>
    </row>
    <row r="181" spans="1:9" ht="12" customHeight="1">
      <c r="A181" s="85" t="s">
        <v>133</v>
      </c>
      <c r="F181" s="83"/>
      <c r="H181" s="31"/>
    </row>
    <row r="182" spans="1:9" ht="12" customHeight="1">
      <c r="A182" s="85" t="s">
        <v>133</v>
      </c>
      <c r="B182" s="81"/>
      <c r="C182" s="81"/>
      <c r="D182" s="81"/>
      <c r="E182" s="81"/>
      <c r="F182" s="82"/>
      <c r="H182" s="158"/>
    </row>
    <row r="183" spans="1:9" ht="12" customHeight="1">
      <c r="A183" s="85" t="s">
        <v>133</v>
      </c>
      <c r="B183" s="85"/>
      <c r="F183" s="83"/>
    </row>
    <row r="184" spans="1:9" ht="12" customHeight="1">
      <c r="A184" s="85" t="s">
        <v>133</v>
      </c>
      <c r="B184" s="85"/>
      <c r="F184" s="83"/>
      <c r="G184" s="19"/>
      <c r="H184" s="158"/>
    </row>
    <row r="185" spans="1:9" ht="12" customHeight="1">
      <c r="A185" s="85" t="s">
        <v>133</v>
      </c>
      <c r="B185" s="85"/>
      <c r="F185" s="83"/>
    </row>
    <row r="186" spans="1:9" ht="12" customHeight="1">
      <c r="A186" s="85" t="s">
        <v>133</v>
      </c>
      <c r="B186" s="85"/>
      <c r="F186" s="83"/>
    </row>
    <row r="187" spans="1:9" ht="12" customHeight="1">
      <c r="A187" s="7" t="s">
        <v>133</v>
      </c>
      <c r="B187" s="81"/>
      <c r="C187" s="81"/>
      <c r="D187" s="81"/>
      <c r="E187" s="81"/>
      <c r="F187" s="141"/>
    </row>
    <row r="189" spans="1:9" ht="12" customHeight="1">
      <c r="A189" s="157" t="s">
        <v>134</v>
      </c>
      <c r="F189" s="18"/>
      <c r="I189"/>
    </row>
    <row r="190" spans="1:9" ht="12" customHeight="1">
      <c r="I190"/>
    </row>
    <row r="191" spans="1:9" ht="12" customHeight="1">
      <c r="A191" s="15" t="s">
        <v>135</v>
      </c>
      <c r="B191" s="13" t="e">
        <f>H170/C12</f>
        <v>#DIV/0!</v>
      </c>
      <c r="C191" s="14" t="s">
        <v>136</v>
      </c>
      <c r="D191" s="16">
        <f>SUM((G19+G20+G21)/1000)</f>
        <v>0</v>
      </c>
      <c r="F191" s="18"/>
      <c r="I191"/>
    </row>
    <row r="192" spans="1:9" ht="12" customHeight="1">
      <c r="G192"/>
      <c r="H192"/>
      <c r="I192"/>
    </row>
    <row r="193" spans="1:9" ht="12" customHeight="1">
      <c r="G193"/>
      <c r="H193"/>
      <c r="I193"/>
    </row>
    <row r="194" spans="1:9" ht="12" customHeight="1">
      <c r="G194"/>
      <c r="H194"/>
    </row>
    <row r="195" spans="1:9" ht="12" customHeight="1">
      <c r="G195"/>
      <c r="H195"/>
    </row>
    <row r="196" spans="1:9" ht="12" customHeight="1">
      <c r="G196"/>
      <c r="H196"/>
    </row>
    <row r="199" spans="1:9" ht="12" customHeight="1">
      <c r="A199"/>
      <c r="B199"/>
      <c r="C199"/>
      <c r="D199"/>
      <c r="E199"/>
      <c r="F199"/>
    </row>
    <row r="200" spans="1:9" ht="12" customHeight="1">
      <c r="A200"/>
      <c r="B200"/>
      <c r="C200"/>
      <c r="D200"/>
      <c r="E200"/>
      <c r="F200"/>
    </row>
    <row r="201" spans="1:9" ht="12" customHeight="1">
      <c r="A201"/>
      <c r="B201"/>
      <c r="C201"/>
      <c r="D201"/>
      <c r="E201"/>
      <c r="F201"/>
    </row>
    <row r="202" spans="1:9" ht="12" customHeight="1">
      <c r="A202"/>
      <c r="B202"/>
      <c r="C202"/>
      <c r="D202"/>
      <c r="E202"/>
      <c r="F202"/>
    </row>
    <row r="203" spans="1:9" ht="12" customHeight="1">
      <c r="A203"/>
      <c r="B203"/>
      <c r="C203"/>
      <c r="D203"/>
      <c r="E203"/>
      <c r="F203"/>
    </row>
  </sheetData>
  <mergeCells count="3">
    <mergeCell ref="G1:H1"/>
    <mergeCell ref="G2:H2"/>
    <mergeCell ref="G3:H3"/>
  </mergeCells>
  <phoneticPr fontId="5" type="noConversion"/>
  <printOptions gridLinesSet="0"/>
  <pageMargins left="0.25" right="0.25" top="0.75" bottom="0.75" header="0.3" footer="0.3"/>
  <pageSetup fitToWidth="0" fitToHeight="0"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workbookViewId="0">
      <selection activeCell="F20" sqref="F20"/>
    </sheetView>
  </sheetViews>
  <sheetFormatPr defaultRowHeight="12.75"/>
  <cols>
    <col min="1" max="1" width="24.42578125" customWidth="1"/>
    <col min="2" max="2" width="8.85546875" bestFit="1" customWidth="1"/>
    <col min="5" max="5" width="9.7109375" customWidth="1"/>
  </cols>
  <sheetData>
    <row r="1" spans="1:13">
      <c r="E1" s="233" t="s">
        <v>137</v>
      </c>
      <c r="F1" s="234"/>
      <c r="G1" s="234"/>
      <c r="H1" s="234"/>
      <c r="I1" s="234"/>
      <c r="J1" s="234"/>
      <c r="K1" s="235"/>
    </row>
    <row r="2" spans="1:13" s="1" customFormat="1" ht="25.5">
      <c r="A2" s="159" t="s">
        <v>138</v>
      </c>
      <c r="B2" s="160" t="s">
        <v>139</v>
      </c>
      <c r="C2" s="160" t="s">
        <v>140</v>
      </c>
      <c r="D2" s="160">
        <v>1</v>
      </c>
      <c r="E2" s="160">
        <v>2</v>
      </c>
      <c r="F2" s="160">
        <v>3</v>
      </c>
      <c r="G2" s="160">
        <v>4</v>
      </c>
      <c r="H2" s="160">
        <v>5</v>
      </c>
      <c r="I2" s="160">
        <v>6</v>
      </c>
      <c r="J2" s="160">
        <v>7</v>
      </c>
      <c r="K2" s="160">
        <v>8</v>
      </c>
      <c r="L2" s="161"/>
      <c r="M2" s="161"/>
    </row>
    <row r="3" spans="1:13">
      <c r="A3" s="2" t="s">
        <v>141</v>
      </c>
      <c r="B3" s="11">
        <v>34</v>
      </c>
      <c r="C3" s="12">
        <v>1.5</v>
      </c>
      <c r="D3" s="94">
        <f>B3*C3</f>
        <v>51</v>
      </c>
      <c r="E3" s="9">
        <f>B3*C3</f>
        <v>51</v>
      </c>
      <c r="F3" s="9">
        <f>B3*C3</f>
        <v>51</v>
      </c>
      <c r="G3" s="9">
        <f>B3*C3</f>
        <v>51</v>
      </c>
      <c r="H3" s="9">
        <f>B3*C3</f>
        <v>51</v>
      </c>
      <c r="I3" s="9">
        <f t="shared" ref="I3:I8" si="0">B3*C3</f>
        <v>51</v>
      </c>
      <c r="J3" s="9">
        <f t="shared" ref="J3:J9" si="1">B3*C3</f>
        <v>51</v>
      </c>
      <c r="K3" s="9">
        <f t="shared" ref="K3:K10" si="2">B3*C3</f>
        <v>51</v>
      </c>
      <c r="L3" s="4"/>
      <c r="M3" s="91"/>
    </row>
    <row r="4" spans="1:13">
      <c r="A4" s="2" t="s">
        <v>142</v>
      </c>
      <c r="B4" s="11">
        <v>25</v>
      </c>
      <c r="C4" s="12">
        <v>1.5</v>
      </c>
      <c r="D4" s="10"/>
      <c r="E4" s="9">
        <f>B4*C4</f>
        <v>37.5</v>
      </c>
      <c r="F4" s="9">
        <f>B4*C4</f>
        <v>37.5</v>
      </c>
      <c r="G4" s="9">
        <f>B4*C4</f>
        <v>37.5</v>
      </c>
      <c r="H4" s="9">
        <f>B4*C4</f>
        <v>37.5</v>
      </c>
      <c r="I4" s="9">
        <f t="shared" si="0"/>
        <v>37.5</v>
      </c>
      <c r="J4" s="9">
        <f t="shared" si="1"/>
        <v>37.5</v>
      </c>
      <c r="K4" s="9">
        <f t="shared" si="2"/>
        <v>37.5</v>
      </c>
    </row>
    <row r="5" spans="1:13">
      <c r="A5" s="2" t="s">
        <v>143</v>
      </c>
      <c r="B5" s="11">
        <v>25</v>
      </c>
      <c r="C5" s="12">
        <v>1.5</v>
      </c>
      <c r="D5" s="10"/>
      <c r="E5" s="10"/>
      <c r="F5" s="9">
        <f>B5*C5</f>
        <v>37.5</v>
      </c>
      <c r="G5" s="9">
        <f>B5*C5</f>
        <v>37.5</v>
      </c>
      <c r="H5" s="9">
        <f>B5*C5</f>
        <v>37.5</v>
      </c>
      <c r="I5" s="9">
        <f t="shared" si="0"/>
        <v>37.5</v>
      </c>
      <c r="J5" s="9">
        <f t="shared" si="1"/>
        <v>37.5</v>
      </c>
      <c r="K5" s="9">
        <f t="shared" si="2"/>
        <v>37.5</v>
      </c>
    </row>
    <row r="6" spans="1:13">
      <c r="A6" s="2" t="s">
        <v>144</v>
      </c>
      <c r="B6" s="11">
        <v>21</v>
      </c>
      <c r="C6" s="12">
        <v>1.5</v>
      </c>
      <c r="D6" s="10"/>
      <c r="E6" s="10"/>
      <c r="F6" s="10"/>
      <c r="G6" s="9">
        <f>B6*C6</f>
        <v>31.5</v>
      </c>
      <c r="H6" s="9">
        <f>B6*C6</f>
        <v>31.5</v>
      </c>
      <c r="I6" s="9">
        <f t="shared" si="0"/>
        <v>31.5</v>
      </c>
      <c r="J6" s="9">
        <f t="shared" si="1"/>
        <v>31.5</v>
      </c>
      <c r="K6" s="9">
        <f t="shared" si="2"/>
        <v>31.5</v>
      </c>
    </row>
    <row r="7" spans="1:13">
      <c r="A7" s="2" t="s">
        <v>145</v>
      </c>
      <c r="B7" s="11">
        <v>21</v>
      </c>
      <c r="C7" s="12">
        <v>1.5</v>
      </c>
      <c r="D7" s="10"/>
      <c r="E7" s="10"/>
      <c r="F7" s="10"/>
      <c r="G7" s="10"/>
      <c r="H7" s="9">
        <f>B7*C7</f>
        <v>31.5</v>
      </c>
      <c r="I7" s="9">
        <f t="shared" si="0"/>
        <v>31.5</v>
      </c>
      <c r="J7" s="9">
        <f t="shared" si="1"/>
        <v>31.5</v>
      </c>
      <c r="K7" s="9">
        <f t="shared" si="2"/>
        <v>31.5</v>
      </c>
    </row>
    <row r="8" spans="1:13">
      <c r="A8" s="2" t="s">
        <v>145</v>
      </c>
      <c r="B8" s="11">
        <v>20</v>
      </c>
      <c r="C8" s="12">
        <v>1.5</v>
      </c>
      <c r="D8" s="10"/>
      <c r="E8" s="10"/>
      <c r="F8" s="10"/>
      <c r="G8" s="10"/>
      <c r="H8" s="10"/>
      <c r="I8" s="9">
        <f t="shared" si="0"/>
        <v>30</v>
      </c>
      <c r="J8" s="9">
        <f t="shared" si="1"/>
        <v>30</v>
      </c>
      <c r="K8" s="9">
        <f t="shared" si="2"/>
        <v>30</v>
      </c>
    </row>
    <row r="9" spans="1:13">
      <c r="A9" s="2" t="s">
        <v>145</v>
      </c>
      <c r="B9" s="11">
        <v>19</v>
      </c>
      <c r="C9" s="12">
        <v>1.5</v>
      </c>
      <c r="D9" s="10"/>
      <c r="E9" s="10"/>
      <c r="F9" s="10"/>
      <c r="G9" s="10"/>
      <c r="H9" s="10"/>
      <c r="I9" s="10"/>
      <c r="J9" s="9">
        <f t="shared" si="1"/>
        <v>28.5</v>
      </c>
      <c r="K9" s="9">
        <f t="shared" si="2"/>
        <v>28.5</v>
      </c>
    </row>
    <row r="10" spans="1:13">
      <c r="A10" s="2" t="s">
        <v>145</v>
      </c>
      <c r="B10" s="11">
        <v>18</v>
      </c>
      <c r="C10" s="12">
        <v>1.5</v>
      </c>
      <c r="D10" s="10"/>
      <c r="E10" s="10"/>
      <c r="F10" s="10"/>
      <c r="G10" s="10"/>
      <c r="H10" s="10"/>
      <c r="I10" s="10"/>
      <c r="J10" s="10"/>
      <c r="K10" s="9">
        <f t="shared" si="2"/>
        <v>27</v>
      </c>
    </row>
    <row r="11" spans="1:13">
      <c r="A11" s="8" t="s">
        <v>146</v>
      </c>
      <c r="B11" s="12">
        <v>12</v>
      </c>
      <c r="C11" s="10"/>
      <c r="D11" s="10"/>
      <c r="E11" s="10"/>
      <c r="F11" s="10"/>
      <c r="G11" s="10"/>
      <c r="H11" s="10"/>
      <c r="I11" s="10"/>
      <c r="J11" s="10"/>
      <c r="K11" s="10"/>
    </row>
    <row r="12" spans="1:13" s="3" customFormat="1">
      <c r="A12" s="162" t="s">
        <v>147</v>
      </c>
      <c r="B12" s="163"/>
      <c r="C12" s="163"/>
      <c r="D12" s="164">
        <f>SUM(D3:D10)*B11</f>
        <v>612</v>
      </c>
      <c r="E12" s="164">
        <f>SUM(E3:E10)*B11</f>
        <v>1062</v>
      </c>
      <c r="F12" s="164">
        <f>SUM(F3:F10)*B11</f>
        <v>1512</v>
      </c>
      <c r="G12" s="164">
        <f>SUM(G3:G10)*B11</f>
        <v>1890</v>
      </c>
      <c r="H12" s="164">
        <f>SUM(H3:H10)*B11</f>
        <v>2268</v>
      </c>
      <c r="I12" s="164">
        <f>SUM(I3:I10)*B11</f>
        <v>2628</v>
      </c>
      <c r="J12" s="164">
        <f>SUM(J3:J10)*B11</f>
        <v>2970</v>
      </c>
      <c r="K12" s="164">
        <f>SUM(K3:K10)*B11</f>
        <v>3294</v>
      </c>
      <c r="L12" s="165"/>
      <c r="M12" s="165"/>
    </row>
    <row r="15" spans="1:13">
      <c r="A15" s="90" t="s">
        <v>148</v>
      </c>
      <c r="B15" s="92" t="s">
        <v>149</v>
      </c>
      <c r="C15" s="92" t="s">
        <v>150</v>
      </c>
      <c r="D15" s="92"/>
    </row>
    <row r="16" spans="1:13">
      <c r="A16" t="s">
        <v>151</v>
      </c>
      <c r="B16" s="147">
        <v>34</v>
      </c>
      <c r="C16" s="4">
        <v>20</v>
      </c>
      <c r="D16" s="4"/>
    </row>
    <row r="17" spans="1:11">
      <c r="A17" t="s">
        <v>152</v>
      </c>
      <c r="B17" s="147">
        <v>34</v>
      </c>
      <c r="C17" s="4">
        <v>20</v>
      </c>
      <c r="D17" s="4"/>
    </row>
    <row r="18" spans="1:11">
      <c r="A18" t="s">
        <v>153</v>
      </c>
      <c r="B18" s="84">
        <v>28</v>
      </c>
      <c r="C18" s="4">
        <v>20</v>
      </c>
      <c r="D18" s="4"/>
    </row>
    <row r="19" spans="1:11">
      <c r="A19" t="s">
        <v>154</v>
      </c>
      <c r="B19" s="84">
        <v>28</v>
      </c>
      <c r="C19" s="4">
        <v>20</v>
      </c>
      <c r="D19" s="4"/>
    </row>
    <row r="20" spans="1:11">
      <c r="A20" t="s">
        <v>155</v>
      </c>
      <c r="B20" s="84">
        <v>27</v>
      </c>
      <c r="C20" s="4">
        <v>20</v>
      </c>
      <c r="D20" s="4"/>
    </row>
    <row r="21" spans="1:11">
      <c r="D21" s="4"/>
      <c r="H21" s="91"/>
    </row>
    <row r="22" spans="1:11">
      <c r="A22" s="90" t="s">
        <v>156</v>
      </c>
      <c r="B22" s="92" t="s">
        <v>149</v>
      </c>
      <c r="C22" s="92" t="s">
        <v>150</v>
      </c>
      <c r="D22" s="4"/>
      <c r="H22" s="91"/>
      <c r="J22" s="84"/>
      <c r="K22" s="4"/>
    </row>
    <row r="23" spans="1:11">
      <c r="A23" t="s">
        <v>157</v>
      </c>
      <c r="B23" s="84">
        <v>25</v>
      </c>
      <c r="C23" s="4">
        <v>12.5</v>
      </c>
      <c r="D23" s="4"/>
      <c r="H23" s="91"/>
      <c r="J23" s="84"/>
      <c r="K23" s="4"/>
    </row>
    <row r="24" spans="1:11" ht="15">
      <c r="A24" t="s">
        <v>158</v>
      </c>
      <c r="B24" s="84">
        <v>25</v>
      </c>
      <c r="C24" s="4">
        <v>10</v>
      </c>
      <c r="D24" s="4"/>
      <c r="I24" s="208"/>
      <c r="J24" s="84"/>
      <c r="K24" s="4"/>
    </row>
    <row r="25" spans="1:11" ht="15">
      <c r="A25" s="208" t="s">
        <v>159</v>
      </c>
      <c r="B25" s="84">
        <v>24.5</v>
      </c>
      <c r="C25" s="4">
        <v>10</v>
      </c>
      <c r="D25" s="4"/>
      <c r="I25" s="208"/>
      <c r="J25" s="84"/>
      <c r="K25" s="4"/>
    </row>
    <row r="26" spans="1:11" ht="15">
      <c r="A26" s="208" t="s">
        <v>160</v>
      </c>
      <c r="B26" s="84">
        <v>21</v>
      </c>
      <c r="C26" s="4">
        <v>8.75</v>
      </c>
      <c r="D26" s="4"/>
      <c r="I26" s="208"/>
      <c r="J26" s="84"/>
      <c r="K26" s="4"/>
    </row>
    <row r="27" spans="1:11" ht="15">
      <c r="A27" s="208" t="s">
        <v>161</v>
      </c>
      <c r="B27" s="84">
        <v>21</v>
      </c>
      <c r="C27" s="4">
        <v>7.25</v>
      </c>
      <c r="I27" s="208"/>
      <c r="J27" s="84"/>
      <c r="K27" s="4"/>
    </row>
    <row r="28" spans="1:11" ht="15">
      <c r="A28" s="208" t="s">
        <v>162</v>
      </c>
      <c r="B28" s="84">
        <v>21.5</v>
      </c>
      <c r="C28" s="4">
        <v>8</v>
      </c>
      <c r="I28" s="208"/>
      <c r="J28" s="84"/>
      <c r="K28" s="4"/>
    </row>
    <row r="29" spans="1:11" ht="15">
      <c r="A29" s="208" t="s">
        <v>163</v>
      </c>
      <c r="B29" s="84">
        <v>21</v>
      </c>
      <c r="C29" s="4">
        <v>8</v>
      </c>
      <c r="I29" s="208"/>
      <c r="J29" s="84"/>
      <c r="K29" s="4"/>
    </row>
    <row r="30" spans="1:11" ht="15">
      <c r="A30" s="208" t="s">
        <v>164</v>
      </c>
      <c r="B30" s="84">
        <v>19.5</v>
      </c>
      <c r="C30" s="4">
        <v>8</v>
      </c>
      <c r="I30" s="208"/>
      <c r="J30" s="84"/>
      <c r="K30" s="4"/>
    </row>
    <row r="31" spans="1:11" ht="15">
      <c r="A31" s="208" t="s">
        <v>165</v>
      </c>
      <c r="B31" s="84">
        <v>20</v>
      </c>
      <c r="C31" s="4">
        <v>8</v>
      </c>
    </row>
    <row r="32" spans="1:11" ht="15">
      <c r="A32" s="208" t="s">
        <v>166</v>
      </c>
      <c r="B32" s="84">
        <v>18</v>
      </c>
      <c r="C32" s="4">
        <v>7.25</v>
      </c>
    </row>
    <row r="33" spans="1:3" ht="15">
      <c r="A33" s="208" t="s">
        <v>167</v>
      </c>
      <c r="B33" s="84">
        <v>21.5</v>
      </c>
      <c r="C33" s="4">
        <v>10.75</v>
      </c>
    </row>
    <row r="34" spans="1:3" ht="15">
      <c r="A34" s="208" t="s">
        <v>168</v>
      </c>
      <c r="B34" s="84">
        <v>19</v>
      </c>
      <c r="C34" s="4">
        <v>7.25</v>
      </c>
    </row>
    <row r="35" spans="1:3" ht="15">
      <c r="A35" s="208"/>
      <c r="B35" s="84"/>
      <c r="C35" s="4"/>
    </row>
    <row r="36" spans="1:3" ht="15">
      <c r="A36" s="208"/>
      <c r="B36" s="84"/>
      <c r="C36" s="4"/>
    </row>
    <row r="37" spans="1:3">
      <c r="A37" s="90"/>
      <c r="B37" s="92"/>
      <c r="C37" s="92"/>
    </row>
    <row r="38" spans="1:3" ht="15">
      <c r="A38" s="208"/>
      <c r="B38" s="84"/>
      <c r="C38" s="4"/>
    </row>
    <row r="39" spans="1:3" ht="15">
      <c r="A39" s="208"/>
      <c r="B39" s="84"/>
      <c r="C39" s="4"/>
    </row>
    <row r="40" spans="1:3" ht="15">
      <c r="A40" s="208"/>
      <c r="B40" s="84"/>
      <c r="C40" s="4"/>
    </row>
    <row r="41" spans="1:3" ht="15">
      <c r="A41" s="208"/>
      <c r="B41" s="84"/>
      <c r="C41" s="4"/>
    </row>
    <row r="42" spans="1:3" ht="15">
      <c r="A42" s="208"/>
      <c r="B42" s="84"/>
      <c r="C42" s="4"/>
    </row>
    <row r="43" spans="1:3" ht="15">
      <c r="A43" s="208"/>
      <c r="B43" s="84"/>
      <c r="C43" s="4"/>
    </row>
  </sheetData>
  <mergeCells count="1">
    <mergeCell ref="E1:K1"/>
  </mergeCells>
  <phoneticPr fontId="5"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81CF-CB44-4551-B154-66102A727CB2}">
  <dimension ref="A1:R59"/>
  <sheetViews>
    <sheetView view="pageLayout" topLeftCell="A3" zoomScale="80" zoomScaleNormal="100" zoomScalePageLayoutView="80" workbookViewId="0">
      <selection activeCell="B1" sqref="B1:D1"/>
    </sheetView>
  </sheetViews>
  <sheetFormatPr defaultRowHeight="12.75"/>
  <cols>
    <col min="1" max="1" width="17" customWidth="1"/>
    <col min="2" max="2" width="13.140625" bestFit="1" customWidth="1"/>
    <col min="3" max="3" width="11.5703125" customWidth="1"/>
    <col min="4" max="4" width="9.7109375" bestFit="1" customWidth="1"/>
    <col min="5" max="5" width="9.140625" customWidth="1"/>
    <col min="6" max="6" width="11.85546875" customWidth="1"/>
    <col min="8" max="8" width="8.140625" customWidth="1"/>
  </cols>
  <sheetData>
    <row r="1" spans="1:18">
      <c r="A1" s="210" t="s">
        <v>169</v>
      </c>
      <c r="B1" s="240">
        <f>Estimate!C2</f>
        <v>0</v>
      </c>
      <c r="C1" s="240"/>
      <c r="D1" s="240"/>
      <c r="E1" s="241">
        <f>Estimate!C3</f>
        <v>0</v>
      </c>
      <c r="F1" s="241"/>
      <c r="G1" s="241"/>
      <c r="H1" s="242"/>
      <c r="I1" s="91" t="s">
        <v>170</v>
      </c>
    </row>
    <row r="2" spans="1:18">
      <c r="A2" s="168" t="s">
        <v>171</v>
      </c>
      <c r="B2" s="236">
        <f>Estimate!C4</f>
        <v>0</v>
      </c>
      <c r="C2" s="236"/>
      <c r="D2" s="236"/>
      <c r="E2" s="237"/>
      <c r="F2" s="237"/>
      <c r="G2" s="237"/>
      <c r="H2" s="237"/>
      <c r="I2" s="238" t="s">
        <v>172</v>
      </c>
      <c r="J2" s="239"/>
      <c r="K2" s="239"/>
      <c r="L2" s="239"/>
      <c r="M2" s="239"/>
      <c r="N2" s="239"/>
      <c r="O2" s="239"/>
      <c r="P2" s="239"/>
      <c r="Q2" s="239"/>
      <c r="R2" s="239"/>
    </row>
    <row r="3" spans="1:18">
      <c r="A3" s="168" t="s">
        <v>173</v>
      </c>
      <c r="B3" s="237">
        <f>Estimate!C5</f>
        <v>0</v>
      </c>
      <c r="C3" s="237"/>
      <c r="D3" s="237"/>
      <c r="E3" s="237"/>
      <c r="F3" s="168" t="s">
        <v>174</v>
      </c>
      <c r="G3" s="237">
        <f>Estimate!G9</f>
        <v>0</v>
      </c>
      <c r="H3" s="237"/>
    </row>
    <row r="4" spans="1:18">
      <c r="A4" s="168" t="s">
        <v>175</v>
      </c>
      <c r="B4" s="237">
        <f>Estimate!C6</f>
        <v>0</v>
      </c>
      <c r="C4" s="237"/>
      <c r="D4" s="237"/>
      <c r="E4" s="237"/>
      <c r="F4" s="168" t="s">
        <v>117</v>
      </c>
      <c r="G4" s="237" t="str">
        <f>IF(Estimate!H154&gt;0, Estimate!C154, "N/A")</f>
        <v>N/A</v>
      </c>
      <c r="H4" s="237"/>
    </row>
    <row r="5" spans="1:18">
      <c r="A5" s="168" t="s">
        <v>176</v>
      </c>
      <c r="B5" s="243">
        <f>Estimate!C9</f>
        <v>0</v>
      </c>
      <c r="C5" s="237"/>
      <c r="D5" s="237"/>
      <c r="E5" s="237"/>
      <c r="F5" s="168"/>
      <c r="G5" s="237"/>
      <c r="H5" s="237"/>
    </row>
    <row r="6" spans="1:18">
      <c r="A6" s="168" t="s">
        <v>177</v>
      </c>
      <c r="B6" s="243">
        <f>Estimate!C8</f>
        <v>0</v>
      </c>
      <c r="C6" s="237"/>
      <c r="D6" s="237"/>
      <c r="E6" s="237"/>
      <c r="F6" s="168"/>
      <c r="G6" s="237"/>
      <c r="H6" s="237"/>
    </row>
    <row r="7" spans="1:18">
      <c r="A7" s="168" t="s">
        <v>178</v>
      </c>
      <c r="B7" s="237"/>
      <c r="C7" s="237"/>
      <c r="D7" s="237"/>
      <c r="E7" s="237"/>
      <c r="F7" s="168"/>
      <c r="G7" s="237"/>
      <c r="H7" s="237"/>
    </row>
    <row r="8" spans="1:18">
      <c r="A8" s="168" t="s">
        <v>179</v>
      </c>
      <c r="B8" s="244">
        <f>Estimate!D148</f>
        <v>0</v>
      </c>
      <c r="C8" s="244"/>
      <c r="D8" s="244"/>
      <c r="E8" s="244"/>
      <c r="F8" s="168"/>
      <c r="G8" s="237"/>
      <c r="H8" s="237"/>
    </row>
    <row r="9" spans="1:18">
      <c r="A9" s="168" t="s">
        <v>180</v>
      </c>
      <c r="B9" s="237">
        <f>SUM(Estimate!D116+Estimate!D118+Estimate!D120+Estimate!D122+Estimate!D124+Estimate!D126+Estimate!D128+Estimate!D130+Estimate!D132+Estimate!D134)</f>
        <v>0</v>
      </c>
      <c r="C9" s="237"/>
      <c r="D9" s="237"/>
      <c r="E9" s="237"/>
      <c r="F9" s="168"/>
      <c r="G9" s="237"/>
      <c r="H9" s="237"/>
    </row>
    <row r="10" spans="1:18">
      <c r="A10" s="168" t="s">
        <v>181</v>
      </c>
      <c r="B10" s="248">
        <f>Estimate!E139</f>
        <v>0</v>
      </c>
      <c r="C10" s="237"/>
      <c r="D10" s="237"/>
      <c r="E10" s="237"/>
      <c r="F10" s="168" t="s">
        <v>182</v>
      </c>
      <c r="G10" s="249">
        <f>Estimate!C12</f>
        <v>0</v>
      </c>
      <c r="H10" s="237"/>
    </row>
    <row r="11" spans="1:18">
      <c r="A11" s="250"/>
      <c r="B11" s="250"/>
      <c r="C11" s="250"/>
      <c r="D11" s="250"/>
      <c r="E11" s="250"/>
      <c r="F11" s="250"/>
      <c r="G11" s="250"/>
      <c r="H11" s="250"/>
    </row>
    <row r="12" spans="1:18">
      <c r="A12" s="251" t="s">
        <v>183</v>
      </c>
      <c r="B12" s="252"/>
      <c r="C12" s="252"/>
      <c r="D12" s="252"/>
      <c r="E12" s="252"/>
      <c r="F12" s="252"/>
      <c r="G12" s="252"/>
      <c r="H12" s="253"/>
    </row>
    <row r="13" spans="1:18">
      <c r="A13" s="254" t="s">
        <v>184</v>
      </c>
      <c r="B13" s="255"/>
      <c r="C13" s="255"/>
      <c r="D13" s="255"/>
      <c r="E13" s="255"/>
      <c r="F13" s="255"/>
      <c r="G13" s="255"/>
      <c r="H13" s="256"/>
    </row>
    <row r="14" spans="1:18">
      <c r="A14" s="257"/>
      <c r="B14" s="255"/>
      <c r="C14" s="255"/>
      <c r="D14" s="255"/>
      <c r="E14" s="255"/>
      <c r="F14" s="255"/>
      <c r="G14" s="255"/>
      <c r="H14" s="256"/>
    </row>
    <row r="15" spans="1:18">
      <c r="A15" s="257"/>
      <c r="B15" s="255"/>
      <c r="C15" s="255"/>
      <c r="D15" s="255"/>
      <c r="E15" s="255"/>
      <c r="F15" s="255"/>
      <c r="G15" s="255"/>
      <c r="H15" s="256"/>
    </row>
    <row r="16" spans="1:18">
      <c r="A16" s="257"/>
      <c r="B16" s="255"/>
      <c r="C16" s="255"/>
      <c r="D16" s="255"/>
      <c r="E16" s="255"/>
      <c r="F16" s="255"/>
      <c r="G16" s="255"/>
      <c r="H16" s="256"/>
    </row>
    <row r="17" spans="1:8">
      <c r="A17" s="257"/>
      <c r="B17" s="255"/>
      <c r="C17" s="255"/>
      <c r="D17" s="255"/>
      <c r="E17" s="255"/>
      <c r="F17" s="255"/>
      <c r="G17" s="255"/>
      <c r="H17" s="256"/>
    </row>
    <row r="18" spans="1:8">
      <c r="A18" s="257"/>
      <c r="B18" s="255"/>
      <c r="C18" s="255"/>
      <c r="D18" s="255"/>
      <c r="E18" s="255"/>
      <c r="F18" s="255"/>
      <c r="G18" s="255"/>
      <c r="H18" s="256"/>
    </row>
    <row r="19" spans="1:8">
      <c r="A19" s="257"/>
      <c r="B19" s="255"/>
      <c r="C19" s="255"/>
      <c r="D19" s="255"/>
      <c r="E19" s="255"/>
      <c r="F19" s="255"/>
      <c r="G19" s="255"/>
      <c r="H19" s="256"/>
    </row>
    <row r="20" spans="1:8">
      <c r="A20" s="257"/>
      <c r="B20" s="255"/>
      <c r="C20" s="255"/>
      <c r="D20" s="255"/>
      <c r="E20" s="255"/>
      <c r="F20" s="255"/>
      <c r="G20" s="255"/>
      <c r="H20" s="256"/>
    </row>
    <row r="21" spans="1:8">
      <c r="A21" s="257"/>
      <c r="B21" s="255"/>
      <c r="C21" s="255"/>
      <c r="D21" s="255"/>
      <c r="E21" s="255"/>
      <c r="F21" s="255"/>
      <c r="G21" s="255"/>
      <c r="H21" s="256"/>
    </row>
    <row r="22" spans="1:8">
      <c r="A22" s="257"/>
      <c r="B22" s="255"/>
      <c r="C22" s="255"/>
      <c r="D22" s="255"/>
      <c r="E22" s="255"/>
      <c r="F22" s="255"/>
      <c r="G22" s="255"/>
      <c r="H22" s="256"/>
    </row>
    <row r="23" spans="1:8">
      <c r="A23" s="257"/>
      <c r="B23" s="255"/>
      <c r="C23" s="255"/>
      <c r="D23" s="255"/>
      <c r="E23" s="255"/>
      <c r="F23" s="255"/>
      <c r="G23" s="255"/>
      <c r="H23" s="256"/>
    </row>
    <row r="24" spans="1:8">
      <c r="A24" s="257"/>
      <c r="B24" s="255"/>
      <c r="C24" s="255"/>
      <c r="D24" s="255"/>
      <c r="E24" s="255"/>
      <c r="F24" s="255"/>
      <c r="G24" s="255"/>
      <c r="H24" s="256"/>
    </row>
    <row r="25" spans="1:8">
      <c r="A25" s="257"/>
      <c r="B25" s="255"/>
      <c r="C25" s="255"/>
      <c r="D25" s="255"/>
      <c r="E25" s="255"/>
      <c r="F25" s="255"/>
      <c r="G25" s="255"/>
      <c r="H25" s="256"/>
    </row>
    <row r="26" spans="1:8">
      <c r="A26" s="257"/>
      <c r="B26" s="255"/>
      <c r="C26" s="255"/>
      <c r="D26" s="255"/>
      <c r="E26" s="255"/>
      <c r="F26" s="255"/>
      <c r="G26" s="255"/>
      <c r="H26" s="256"/>
    </row>
    <row r="27" spans="1:8">
      <c r="A27" s="257"/>
      <c r="B27" s="255"/>
      <c r="C27" s="255"/>
      <c r="D27" s="255"/>
      <c r="E27" s="255"/>
      <c r="F27" s="255"/>
      <c r="G27" s="255"/>
      <c r="H27" s="256"/>
    </row>
    <row r="28" spans="1:8">
      <c r="A28" s="257"/>
      <c r="B28" s="255"/>
      <c r="C28" s="255"/>
      <c r="D28" s="255"/>
      <c r="E28" s="255"/>
      <c r="F28" s="255"/>
      <c r="G28" s="255"/>
      <c r="H28" s="256"/>
    </row>
    <row r="29" spans="1:8">
      <c r="A29" s="257"/>
      <c r="B29" s="255"/>
      <c r="C29" s="255"/>
      <c r="D29" s="255"/>
      <c r="E29" s="255"/>
      <c r="F29" s="255"/>
      <c r="G29" s="255"/>
      <c r="H29" s="256"/>
    </row>
    <row r="30" spans="1:8">
      <c r="A30" s="257"/>
      <c r="B30" s="255"/>
      <c r="C30" s="255"/>
      <c r="D30" s="255"/>
      <c r="E30" s="255"/>
      <c r="F30" s="255"/>
      <c r="G30" s="255"/>
      <c r="H30" s="256"/>
    </row>
    <row r="31" spans="1:8">
      <c r="A31" s="257"/>
      <c r="B31" s="255"/>
      <c r="C31" s="255"/>
      <c r="D31" s="255"/>
      <c r="E31" s="255"/>
      <c r="F31" s="255"/>
      <c r="G31" s="255"/>
      <c r="H31" s="256"/>
    </row>
    <row r="32" spans="1:8">
      <c r="A32" s="257"/>
      <c r="B32" s="255"/>
      <c r="C32" s="255"/>
      <c r="D32" s="255"/>
      <c r="E32" s="255"/>
      <c r="F32" s="255"/>
      <c r="G32" s="255"/>
      <c r="H32" s="256"/>
    </row>
    <row r="33" spans="1:8">
      <c r="A33" s="257"/>
      <c r="B33" s="255"/>
      <c r="C33" s="255"/>
      <c r="D33" s="255"/>
      <c r="E33" s="255"/>
      <c r="F33" s="255"/>
      <c r="G33" s="255"/>
      <c r="H33" s="256"/>
    </row>
    <row r="34" spans="1:8">
      <c r="A34" s="257"/>
      <c r="B34" s="255"/>
      <c r="C34" s="255"/>
      <c r="D34" s="255"/>
      <c r="E34" s="255"/>
      <c r="F34" s="255"/>
      <c r="G34" s="255"/>
      <c r="H34" s="256"/>
    </row>
    <row r="35" spans="1:8">
      <c r="A35" s="257"/>
      <c r="B35" s="255"/>
      <c r="C35" s="255"/>
      <c r="D35" s="255"/>
      <c r="E35" s="255"/>
      <c r="F35" s="255"/>
      <c r="G35" s="255"/>
      <c r="H35" s="256"/>
    </row>
    <row r="36" spans="1:8" ht="14.25" customHeight="1">
      <c r="A36" s="258"/>
      <c r="B36" s="259"/>
      <c r="C36" s="259"/>
      <c r="D36" s="259"/>
      <c r="E36" s="259"/>
      <c r="F36" s="259"/>
      <c r="G36" s="259"/>
      <c r="H36" s="260"/>
    </row>
    <row r="37" spans="1:8">
      <c r="A37" s="261"/>
      <c r="B37" s="261"/>
      <c r="C37" s="261"/>
      <c r="D37" s="261"/>
      <c r="E37" s="261"/>
      <c r="F37" s="261"/>
      <c r="G37" s="261"/>
      <c r="H37" s="261"/>
    </row>
    <row r="38" spans="1:8">
      <c r="A38" s="168" t="s">
        <v>185</v>
      </c>
      <c r="B38" s="213" t="s">
        <v>186</v>
      </c>
      <c r="C38" s="213"/>
      <c r="D38" s="168" t="s">
        <v>187</v>
      </c>
      <c r="E38" s="168" t="s">
        <v>188</v>
      </c>
      <c r="F38" s="168" t="s">
        <v>189</v>
      </c>
      <c r="G38" s="168" t="s">
        <v>190</v>
      </c>
      <c r="H38" s="168"/>
    </row>
    <row r="39" spans="1:8">
      <c r="A39" s="210" t="s">
        <v>191</v>
      </c>
      <c r="B39" s="209" t="str">
        <f>Estimate!B19</f>
        <v>Gaco Roof 2.7</v>
      </c>
      <c r="C39" s="209"/>
      <c r="D39" s="212">
        <f>Estimate!G19</f>
        <v>0</v>
      </c>
      <c r="E39" s="177">
        <f>Estimate!C19</f>
        <v>0</v>
      </c>
      <c r="F39" s="178">
        <f>Estimate!D19</f>
        <v>1.5</v>
      </c>
      <c r="G39" s="2">
        <f>Estimate!F19</f>
        <v>2600</v>
      </c>
      <c r="H39" s="2"/>
    </row>
    <row r="40" spans="1:8">
      <c r="A40" s="171" t="s">
        <v>192</v>
      </c>
      <c r="B40" s="214" t="str">
        <f>Estimate!B20</f>
        <v>Gaco Roof 2.7</v>
      </c>
      <c r="C40" s="214"/>
      <c r="D40" s="215">
        <f>Estimate!G20</f>
        <v>0</v>
      </c>
      <c r="E40" s="216">
        <f>Estimate!C20</f>
        <v>0</v>
      </c>
      <c r="F40" s="217">
        <f>Estimate!D20</f>
        <v>1.25</v>
      </c>
      <c r="G40" s="218">
        <f>Estimate!F20</f>
        <v>2700</v>
      </c>
      <c r="H40" s="218"/>
    </row>
    <row r="41" spans="1:8">
      <c r="A41" s="225" t="s">
        <v>193</v>
      </c>
      <c r="B41" s="209" t="str">
        <f>Estimate!B21</f>
        <v>Gaco Roof 2.7</v>
      </c>
      <c r="C41" s="209"/>
      <c r="D41" s="226">
        <f>Estimate!G21</f>
        <v>0</v>
      </c>
      <c r="E41" s="226">
        <f>Estimate!C21</f>
        <v>0</v>
      </c>
      <c r="F41" s="227">
        <f>Estimate!D21</f>
        <v>1.25</v>
      </c>
      <c r="G41" s="209">
        <f>Estimate!F21</f>
        <v>2700</v>
      </c>
      <c r="H41" s="209"/>
    </row>
    <row r="42" spans="1:8">
      <c r="A42" s="91"/>
      <c r="D42" s="224"/>
      <c r="E42" s="224"/>
      <c r="F42" s="168" t="s">
        <v>194</v>
      </c>
    </row>
    <row r="43" spans="1:8" ht="12.75" customHeight="1">
      <c r="A43" s="225" t="s">
        <v>195</v>
      </c>
      <c r="B43" s="229" t="str">
        <f>Estimate!B26</f>
        <v>Gaco Silicone</v>
      </c>
      <c r="C43" s="209"/>
      <c r="D43" s="226">
        <f>Estimate!G26</f>
        <v>0</v>
      </c>
      <c r="E43" s="226">
        <f>Estimate!C26</f>
        <v>0</v>
      </c>
      <c r="F43" s="227"/>
      <c r="G43" s="227">
        <f>Estimate!D26</f>
        <v>1</v>
      </c>
      <c r="H43" s="209"/>
    </row>
    <row r="44" spans="1:8">
      <c r="A44" s="228" t="s">
        <v>196</v>
      </c>
      <c r="B44" s="219" t="str">
        <f>Estimate!B27</f>
        <v>Gaco Silicone</v>
      </c>
      <c r="C44" s="219"/>
      <c r="D44" s="220">
        <f>Estimate!G27</f>
        <v>0</v>
      </c>
      <c r="E44" s="221">
        <f>Estimate!C27</f>
        <v>0</v>
      </c>
      <c r="F44" s="223"/>
      <c r="G44" s="222">
        <f>Estimate!D27</f>
        <v>1</v>
      </c>
      <c r="H44" s="223"/>
    </row>
    <row r="45" spans="1:8">
      <c r="A45" s="228" t="s">
        <v>197</v>
      </c>
      <c r="B45" s="219" t="str">
        <f>Estimate!B28</f>
        <v>Gaco Silicone</v>
      </c>
      <c r="C45" s="219"/>
      <c r="D45" s="220">
        <f>Estimate!G28</f>
        <v>0</v>
      </c>
      <c r="E45" s="221">
        <f>Estimate!C28</f>
        <v>0</v>
      </c>
      <c r="F45" s="223"/>
      <c r="G45" s="222">
        <f>Estimate!D28</f>
        <v>1</v>
      </c>
      <c r="H45" s="223"/>
    </row>
    <row r="46" spans="1:8">
      <c r="A46" s="91"/>
    </row>
    <row r="47" spans="1:8">
      <c r="A47" s="168" t="s">
        <v>198</v>
      </c>
      <c r="B47" s="262" t="s">
        <v>186</v>
      </c>
      <c r="C47" s="263"/>
      <c r="D47" s="263"/>
      <c r="E47" s="264"/>
      <c r="F47" s="262" t="s">
        <v>199</v>
      </c>
      <c r="G47" s="263"/>
      <c r="H47" s="264"/>
    </row>
    <row r="48" spans="1:8">
      <c r="A48" s="168" t="s">
        <v>200</v>
      </c>
      <c r="B48" s="245" t="str">
        <f>Estimate!B43</f>
        <v>Silicone Sausage</v>
      </c>
      <c r="C48" s="242"/>
      <c r="D48" s="246"/>
      <c r="E48" s="247"/>
      <c r="F48" s="265">
        <f>Estimate!G43</f>
        <v>0</v>
      </c>
      <c r="G48" s="266"/>
      <c r="H48" s="267"/>
    </row>
    <row r="49" spans="1:8">
      <c r="A49" s="168" t="s">
        <v>201</v>
      </c>
      <c r="B49" s="245" t="str">
        <f>Estimate!B45</f>
        <v>Gaco SF-2000</v>
      </c>
      <c r="C49" s="242"/>
      <c r="D49" s="246"/>
      <c r="E49" s="247"/>
      <c r="F49" s="245">
        <f>Estimate!G45</f>
        <v>0</v>
      </c>
      <c r="G49" s="241"/>
      <c r="H49" s="242"/>
    </row>
    <row r="50" spans="1:8">
      <c r="A50" s="168" t="s">
        <v>35</v>
      </c>
      <c r="B50" s="245" t="str">
        <f>Estimate!B33</f>
        <v>Naphtha VM&amp;P</v>
      </c>
      <c r="C50" s="242"/>
      <c r="D50" s="268"/>
      <c r="E50" s="269"/>
      <c r="F50" s="270">
        <f>Estimate!G33</f>
        <v>0</v>
      </c>
      <c r="G50" s="271"/>
      <c r="H50" s="272"/>
    </row>
    <row r="51" spans="1:8">
      <c r="A51" s="168" t="s">
        <v>39</v>
      </c>
      <c r="B51" s="245" t="str">
        <f>Estimate!B39</f>
        <v>Gaco E-5320</v>
      </c>
      <c r="C51" s="242"/>
      <c r="D51" s="268"/>
      <c r="E51" s="269"/>
      <c r="F51" s="270">
        <f>Estimate!G39</f>
        <v>0</v>
      </c>
      <c r="G51" s="271"/>
      <c r="H51" s="272"/>
    </row>
    <row r="52" spans="1:8">
      <c r="A52" s="168" t="s">
        <v>37</v>
      </c>
      <c r="B52" s="245" t="str">
        <f>Estimate!B36</f>
        <v>3M</v>
      </c>
      <c r="C52" s="242"/>
      <c r="D52" s="246"/>
      <c r="E52" s="247"/>
      <c r="F52" s="265">
        <f>Estimate!G36</f>
        <v>0</v>
      </c>
      <c r="G52" s="266"/>
      <c r="H52" s="267"/>
    </row>
    <row r="54" spans="1:8">
      <c r="A54" s="171" t="s">
        <v>202</v>
      </c>
      <c r="B54" s="172"/>
      <c r="C54" s="172"/>
      <c r="D54" s="172"/>
      <c r="E54" s="172"/>
      <c r="F54" s="172"/>
      <c r="G54" s="172"/>
      <c r="H54" s="173"/>
    </row>
    <row r="55" spans="1:8">
      <c r="A55" s="169"/>
      <c r="H55" s="170"/>
    </row>
    <row r="56" spans="1:8">
      <c r="A56" s="169"/>
      <c r="H56" s="170"/>
    </row>
    <row r="57" spans="1:8">
      <c r="A57" s="169"/>
      <c r="H57" s="170"/>
    </row>
    <row r="58" spans="1:8">
      <c r="A58" s="169"/>
      <c r="H58" s="170"/>
    </row>
    <row r="59" spans="1:8">
      <c r="A59" s="174"/>
      <c r="B59" s="175"/>
      <c r="C59" s="175"/>
      <c r="D59" s="175"/>
      <c r="E59" s="175"/>
      <c r="F59" s="175"/>
      <c r="G59" s="175"/>
      <c r="H59" s="176"/>
    </row>
  </sheetData>
  <mergeCells count="41">
    <mergeCell ref="B52:C52"/>
    <mergeCell ref="D52:E52"/>
    <mergeCell ref="F52:H52"/>
    <mergeCell ref="B50:C50"/>
    <mergeCell ref="D50:E50"/>
    <mergeCell ref="F50:H50"/>
    <mergeCell ref="B51:C51"/>
    <mergeCell ref="D51:E51"/>
    <mergeCell ref="F51:H51"/>
    <mergeCell ref="B49:C49"/>
    <mergeCell ref="D49:E49"/>
    <mergeCell ref="F49:H49"/>
    <mergeCell ref="B10:E10"/>
    <mergeCell ref="G10:H10"/>
    <mergeCell ref="A11:H11"/>
    <mergeCell ref="A12:H12"/>
    <mergeCell ref="A13:H36"/>
    <mergeCell ref="A37:H37"/>
    <mergeCell ref="B47:E47"/>
    <mergeCell ref="F47:H47"/>
    <mergeCell ref="B48:C48"/>
    <mergeCell ref="D48:E48"/>
    <mergeCell ref="F48:H48"/>
    <mergeCell ref="B7:E7"/>
    <mergeCell ref="G7:H7"/>
    <mergeCell ref="B8:E8"/>
    <mergeCell ref="G8:H8"/>
    <mergeCell ref="B9:E9"/>
    <mergeCell ref="G9:H9"/>
    <mergeCell ref="B4:E4"/>
    <mergeCell ref="G4:H4"/>
    <mergeCell ref="B5:E5"/>
    <mergeCell ref="G5:H5"/>
    <mergeCell ref="B6:E6"/>
    <mergeCell ref="G6:H6"/>
    <mergeCell ref="B2:H2"/>
    <mergeCell ref="I2:R2"/>
    <mergeCell ref="B3:E3"/>
    <mergeCell ref="G3:H3"/>
    <mergeCell ref="B1:D1"/>
    <mergeCell ref="E1:H1"/>
  </mergeCells>
  <pageMargins left="0.7" right="0.7" top="0.75" bottom="0.75" header="0.3" footer="0.3"/>
  <pageSetup orientation="portrait" r:id="rId1"/>
  <headerFooter>
    <oddHeader>&amp;C&amp;"Arial,Bold"&amp;18Job Specification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8892-0BC6-4689-BBBF-BFCFB6056D43}">
  <dimension ref="A1:R55"/>
  <sheetViews>
    <sheetView view="pageLayout" topLeftCell="A24" zoomScale="80" zoomScaleNormal="100" zoomScalePageLayoutView="80" workbookViewId="0">
      <selection activeCell="B9" sqref="B9:E9"/>
    </sheetView>
  </sheetViews>
  <sheetFormatPr defaultRowHeight="12.75"/>
  <cols>
    <col min="1" max="1" width="17" customWidth="1"/>
    <col min="2" max="2" width="13.140625" bestFit="1" customWidth="1"/>
    <col min="3" max="3" width="11.5703125" customWidth="1"/>
    <col min="4" max="4" width="9.7109375" bestFit="1" customWidth="1"/>
    <col min="5" max="5" width="9.140625" customWidth="1"/>
    <col min="6" max="6" width="10.7109375" customWidth="1"/>
  </cols>
  <sheetData>
    <row r="1" spans="1:18">
      <c r="A1" s="168" t="s">
        <v>169</v>
      </c>
      <c r="B1" s="245">
        <f>Estimate!C2</f>
        <v>0</v>
      </c>
      <c r="C1" s="241"/>
      <c r="D1" s="245">
        <f>Estimate!C3</f>
        <v>0</v>
      </c>
      <c r="E1" s="241"/>
      <c r="F1" s="241"/>
      <c r="G1" s="241"/>
      <c r="H1" s="242"/>
      <c r="I1" s="91" t="s">
        <v>170</v>
      </c>
    </row>
    <row r="2" spans="1:18">
      <c r="A2" s="168" t="s">
        <v>171</v>
      </c>
      <c r="B2" s="325">
        <f>Estimate!C4</f>
        <v>0</v>
      </c>
      <c r="C2" s="325"/>
      <c r="D2" s="325"/>
      <c r="E2" s="325"/>
      <c r="F2" s="325"/>
      <c r="G2" s="325"/>
      <c r="H2" s="325"/>
      <c r="I2" s="238" t="s">
        <v>172</v>
      </c>
      <c r="J2" s="239"/>
      <c r="K2" s="239"/>
      <c r="L2" s="239"/>
      <c r="M2" s="239"/>
      <c r="N2" s="239"/>
      <c r="O2" s="239"/>
      <c r="P2" s="239"/>
      <c r="Q2" s="239"/>
      <c r="R2" s="239"/>
    </row>
    <row r="3" spans="1:18">
      <c r="A3" s="168" t="s">
        <v>173</v>
      </c>
      <c r="B3" s="237">
        <f>Estimate!C5</f>
        <v>0</v>
      </c>
      <c r="C3" s="237"/>
      <c r="D3" s="237"/>
      <c r="E3" s="237"/>
      <c r="F3" s="168" t="s">
        <v>174</v>
      </c>
      <c r="G3" s="237">
        <f>Estimate!G9</f>
        <v>0</v>
      </c>
      <c r="H3" s="237"/>
    </row>
    <row r="4" spans="1:18">
      <c r="A4" s="168" t="s">
        <v>175</v>
      </c>
      <c r="B4" s="237">
        <f>Estimate!C6</f>
        <v>0</v>
      </c>
      <c r="C4" s="237"/>
      <c r="D4" s="237"/>
      <c r="E4" s="237"/>
      <c r="F4" s="168" t="s">
        <v>117</v>
      </c>
      <c r="G4" s="237" t="str">
        <f>IF(Estimate!H154&gt;0, Estimate!C154, "N/A")</f>
        <v>N/A</v>
      </c>
      <c r="H4" s="237"/>
    </row>
    <row r="5" spans="1:18">
      <c r="A5" s="168" t="s">
        <v>176</v>
      </c>
      <c r="B5" s="243">
        <f>Estimate!C9</f>
        <v>0</v>
      </c>
      <c r="C5" s="237"/>
      <c r="D5" s="237"/>
      <c r="E5" s="237"/>
      <c r="F5" s="168"/>
      <c r="G5" s="237"/>
      <c r="H5" s="237"/>
    </row>
    <row r="6" spans="1:18">
      <c r="A6" s="168" t="s">
        <v>177</v>
      </c>
      <c r="B6" s="243">
        <f>Estimate!C8</f>
        <v>0</v>
      </c>
      <c r="C6" s="237"/>
      <c r="D6" s="237"/>
      <c r="E6" s="237"/>
      <c r="F6" s="168"/>
      <c r="G6" s="237"/>
      <c r="H6" s="237"/>
    </row>
    <row r="7" spans="1:18">
      <c r="A7" s="168" t="s">
        <v>178</v>
      </c>
      <c r="B7" s="237"/>
      <c r="C7" s="237"/>
      <c r="D7" s="237"/>
      <c r="E7" s="237"/>
      <c r="F7" s="168"/>
      <c r="G7" s="237"/>
      <c r="H7" s="237"/>
    </row>
    <row r="8" spans="1:18">
      <c r="A8" s="168" t="s">
        <v>179</v>
      </c>
      <c r="B8" s="244">
        <f>Estimate!D148</f>
        <v>0</v>
      </c>
      <c r="C8" s="244"/>
      <c r="D8" s="244"/>
      <c r="E8" s="244"/>
      <c r="F8" s="168"/>
      <c r="G8" s="237"/>
      <c r="H8" s="237"/>
    </row>
    <row r="9" spans="1:18">
      <c r="A9" s="168" t="s">
        <v>180</v>
      </c>
      <c r="B9" s="237">
        <f>SUM(Estimate!D116+Estimate!D118+Estimate!D120+Estimate!D122+Estimate!D124+Estimate!D126+Estimate!D128+Estimate!D130+Estimate!D132+Estimate!D134)</f>
        <v>0</v>
      </c>
      <c r="C9" s="237"/>
      <c r="D9" s="237"/>
      <c r="E9" s="237"/>
      <c r="F9" s="168"/>
      <c r="G9" s="237"/>
      <c r="H9" s="237"/>
    </row>
    <row r="10" spans="1:18">
      <c r="A10" s="168" t="s">
        <v>181</v>
      </c>
      <c r="B10" s="248">
        <f>Estimate!E139</f>
        <v>0</v>
      </c>
      <c r="C10" s="237"/>
      <c r="D10" s="237"/>
      <c r="E10" s="237"/>
      <c r="F10" s="168" t="s">
        <v>182</v>
      </c>
      <c r="G10" s="249">
        <f>Estimate!C12</f>
        <v>0</v>
      </c>
      <c r="H10" s="237"/>
    </row>
    <row r="11" spans="1:18">
      <c r="A11" s="250"/>
      <c r="B11" s="250"/>
      <c r="C11" s="250"/>
      <c r="D11" s="250"/>
      <c r="E11" s="250"/>
      <c r="F11" s="250"/>
      <c r="G11" s="250"/>
      <c r="H11" s="250"/>
    </row>
    <row r="12" spans="1:18">
      <c r="A12" s="251" t="s">
        <v>183</v>
      </c>
      <c r="B12" s="252"/>
      <c r="C12" s="252"/>
      <c r="D12" s="252"/>
      <c r="E12" s="252"/>
      <c r="F12" s="252"/>
      <c r="G12" s="252"/>
      <c r="H12" s="253"/>
    </row>
    <row r="13" spans="1:18">
      <c r="A13" s="254" t="s">
        <v>184</v>
      </c>
      <c r="B13" s="255"/>
      <c r="C13" s="255"/>
      <c r="D13" s="255"/>
      <c r="E13" s="255"/>
      <c r="F13" s="255"/>
      <c r="G13" s="255"/>
      <c r="H13" s="256"/>
    </row>
    <row r="14" spans="1:18">
      <c r="A14" s="257"/>
      <c r="B14" s="255"/>
      <c r="C14" s="255"/>
      <c r="D14" s="255"/>
      <c r="E14" s="255"/>
      <c r="F14" s="255"/>
      <c r="G14" s="255"/>
      <c r="H14" s="256"/>
    </row>
    <row r="15" spans="1:18">
      <c r="A15" s="257"/>
      <c r="B15" s="255"/>
      <c r="C15" s="255"/>
      <c r="D15" s="255"/>
      <c r="E15" s="255"/>
      <c r="F15" s="255"/>
      <c r="G15" s="255"/>
      <c r="H15" s="256"/>
    </row>
    <row r="16" spans="1:18">
      <c r="A16" s="257"/>
      <c r="B16" s="255"/>
      <c r="C16" s="255"/>
      <c r="D16" s="255"/>
      <c r="E16" s="255"/>
      <c r="F16" s="255"/>
      <c r="G16" s="255"/>
      <c r="H16" s="256"/>
    </row>
    <row r="17" spans="1:8">
      <c r="A17" s="257"/>
      <c r="B17" s="255"/>
      <c r="C17" s="255"/>
      <c r="D17" s="255"/>
      <c r="E17" s="255"/>
      <c r="F17" s="255"/>
      <c r="G17" s="255"/>
      <c r="H17" s="256"/>
    </row>
    <row r="18" spans="1:8">
      <c r="A18" s="257"/>
      <c r="B18" s="255"/>
      <c r="C18" s="255"/>
      <c r="D18" s="255"/>
      <c r="E18" s="255"/>
      <c r="F18" s="255"/>
      <c r="G18" s="255"/>
      <c r="H18" s="256"/>
    </row>
    <row r="19" spans="1:8">
      <c r="A19" s="257"/>
      <c r="B19" s="255"/>
      <c r="C19" s="255"/>
      <c r="D19" s="255"/>
      <c r="E19" s="255"/>
      <c r="F19" s="255"/>
      <c r="G19" s="255"/>
      <c r="H19" s="256"/>
    </row>
    <row r="20" spans="1:8">
      <c r="A20" s="257"/>
      <c r="B20" s="255"/>
      <c r="C20" s="255"/>
      <c r="D20" s="255"/>
      <c r="E20" s="255"/>
      <c r="F20" s="255"/>
      <c r="G20" s="255"/>
      <c r="H20" s="256"/>
    </row>
    <row r="21" spans="1:8">
      <c r="A21" s="257"/>
      <c r="B21" s="255"/>
      <c r="C21" s="255"/>
      <c r="D21" s="255"/>
      <c r="E21" s="255"/>
      <c r="F21" s="255"/>
      <c r="G21" s="255"/>
      <c r="H21" s="256"/>
    </row>
    <row r="22" spans="1:8">
      <c r="A22" s="257"/>
      <c r="B22" s="255"/>
      <c r="C22" s="255"/>
      <c r="D22" s="255"/>
      <c r="E22" s="255"/>
      <c r="F22" s="255"/>
      <c r="G22" s="255"/>
      <c r="H22" s="256"/>
    </row>
    <row r="23" spans="1:8">
      <c r="A23" s="257"/>
      <c r="B23" s="255"/>
      <c r="C23" s="255"/>
      <c r="D23" s="255"/>
      <c r="E23" s="255"/>
      <c r="F23" s="255"/>
      <c r="G23" s="255"/>
      <c r="H23" s="256"/>
    </row>
    <row r="24" spans="1:8">
      <c r="A24" s="257"/>
      <c r="B24" s="255"/>
      <c r="C24" s="255"/>
      <c r="D24" s="255"/>
      <c r="E24" s="255"/>
      <c r="F24" s="255"/>
      <c r="G24" s="255"/>
      <c r="H24" s="256"/>
    </row>
    <row r="25" spans="1:8">
      <c r="A25" s="257"/>
      <c r="B25" s="255"/>
      <c r="C25" s="255"/>
      <c r="D25" s="255"/>
      <c r="E25" s="255"/>
      <c r="F25" s="255"/>
      <c r="G25" s="255"/>
      <c r="H25" s="256"/>
    </row>
    <row r="26" spans="1:8">
      <c r="A26" s="257"/>
      <c r="B26" s="255"/>
      <c r="C26" s="255"/>
      <c r="D26" s="255"/>
      <c r="E26" s="255"/>
      <c r="F26" s="255"/>
      <c r="G26" s="255"/>
      <c r="H26" s="256"/>
    </row>
    <row r="27" spans="1:8">
      <c r="A27" s="257"/>
      <c r="B27" s="255"/>
      <c r="C27" s="255"/>
      <c r="D27" s="255"/>
      <c r="E27" s="255"/>
      <c r="F27" s="255"/>
      <c r="G27" s="255"/>
      <c r="H27" s="256"/>
    </row>
    <row r="28" spans="1:8">
      <c r="A28" s="257"/>
      <c r="B28" s="255"/>
      <c r="C28" s="255"/>
      <c r="D28" s="255"/>
      <c r="E28" s="255"/>
      <c r="F28" s="255"/>
      <c r="G28" s="255"/>
      <c r="H28" s="256"/>
    </row>
    <row r="29" spans="1:8">
      <c r="A29" s="257"/>
      <c r="B29" s="255"/>
      <c r="C29" s="255"/>
      <c r="D29" s="255"/>
      <c r="E29" s="255"/>
      <c r="F29" s="255"/>
      <c r="G29" s="255"/>
      <c r="H29" s="256"/>
    </row>
    <row r="30" spans="1:8">
      <c r="A30" s="257"/>
      <c r="B30" s="255"/>
      <c r="C30" s="255"/>
      <c r="D30" s="255"/>
      <c r="E30" s="255"/>
      <c r="F30" s="255"/>
      <c r="G30" s="255"/>
      <c r="H30" s="256"/>
    </row>
    <row r="31" spans="1:8">
      <c r="A31" s="257"/>
      <c r="B31" s="255"/>
      <c r="C31" s="255"/>
      <c r="D31" s="255"/>
      <c r="E31" s="255"/>
      <c r="F31" s="255"/>
      <c r="G31" s="255"/>
      <c r="H31" s="256"/>
    </row>
    <row r="32" spans="1:8">
      <c r="A32" s="257"/>
      <c r="B32" s="255"/>
      <c r="C32" s="255"/>
      <c r="D32" s="255"/>
      <c r="E32" s="255"/>
      <c r="F32" s="255"/>
      <c r="G32" s="255"/>
      <c r="H32" s="256"/>
    </row>
    <row r="33" spans="1:8">
      <c r="A33" s="257"/>
      <c r="B33" s="255"/>
      <c r="C33" s="255"/>
      <c r="D33" s="255"/>
      <c r="E33" s="255"/>
      <c r="F33" s="255"/>
      <c r="G33" s="255"/>
      <c r="H33" s="256"/>
    </row>
    <row r="34" spans="1:8">
      <c r="A34" s="257"/>
      <c r="B34" s="255"/>
      <c r="C34" s="255"/>
      <c r="D34" s="255"/>
      <c r="E34" s="255"/>
      <c r="F34" s="255"/>
      <c r="G34" s="255"/>
      <c r="H34" s="256"/>
    </row>
    <row r="35" spans="1:8">
      <c r="A35" s="257"/>
      <c r="B35" s="255"/>
      <c r="C35" s="255"/>
      <c r="D35" s="255"/>
      <c r="E35" s="255"/>
      <c r="F35" s="255"/>
      <c r="G35" s="255"/>
      <c r="H35" s="256"/>
    </row>
    <row r="36" spans="1:8" ht="14.25" customHeight="1">
      <c r="A36" s="258"/>
      <c r="B36" s="259"/>
      <c r="C36" s="259"/>
      <c r="D36" s="259"/>
      <c r="E36" s="259"/>
      <c r="F36" s="259"/>
      <c r="G36" s="259"/>
      <c r="H36" s="260"/>
    </row>
    <row r="37" spans="1:8">
      <c r="A37" s="261"/>
      <c r="B37" s="261"/>
      <c r="C37" s="261"/>
      <c r="D37" s="261"/>
      <c r="E37" s="261"/>
      <c r="F37" s="261"/>
      <c r="G37" s="261"/>
      <c r="H37" s="261"/>
    </row>
    <row r="38" spans="1:8">
      <c r="A38" s="168" t="s">
        <v>185</v>
      </c>
      <c r="B38" s="213" t="s">
        <v>186</v>
      </c>
      <c r="C38" s="213"/>
      <c r="D38" s="168" t="s">
        <v>187</v>
      </c>
      <c r="E38" s="168" t="s">
        <v>188</v>
      </c>
      <c r="F38" s="168" t="s">
        <v>28</v>
      </c>
      <c r="G38" s="168" t="s">
        <v>190</v>
      </c>
      <c r="H38" s="168"/>
    </row>
    <row r="39" spans="1:8">
      <c r="A39" s="210" t="s">
        <v>203</v>
      </c>
      <c r="B39" s="209" t="str">
        <f>Estimate!B19</f>
        <v>Gaco Roof 2.7</v>
      </c>
      <c r="C39" s="209"/>
      <c r="D39" s="212">
        <f>Estimate!G19+Estimate!G20+Estimate!G21</f>
        <v>0</v>
      </c>
      <c r="E39" s="177">
        <f>Estimate!C19+Estimate!C20+Estimate!C21</f>
        <v>0</v>
      </c>
      <c r="F39" s="2"/>
      <c r="G39" s="2">
        <f>Estimate!F19</f>
        <v>2600</v>
      </c>
      <c r="H39" s="2"/>
    </row>
    <row r="40" spans="1:8" ht="12.75" customHeight="1">
      <c r="A40" s="211" t="s">
        <v>204</v>
      </c>
      <c r="B40" s="209" t="str">
        <f>Estimate!B26</f>
        <v>Gaco Silicone</v>
      </c>
      <c r="C40" s="209"/>
      <c r="D40" s="212">
        <f>Estimate!G26</f>
        <v>0</v>
      </c>
      <c r="E40" s="177">
        <f>Estimate!C26</f>
        <v>0</v>
      </c>
      <c r="F40" s="178"/>
      <c r="G40" s="178">
        <f>Estimate!D26</f>
        <v>1</v>
      </c>
      <c r="H40" s="2"/>
    </row>
    <row r="41" spans="1:8">
      <c r="A41" s="210" t="s">
        <v>205</v>
      </c>
      <c r="B41" s="209" t="str">
        <f>Estimate!B27</f>
        <v>Gaco Silicone</v>
      </c>
      <c r="C41" s="209"/>
      <c r="D41" s="212">
        <f>Estimate!G27</f>
        <v>0</v>
      </c>
      <c r="E41" s="177">
        <f>Estimate!C27</f>
        <v>0</v>
      </c>
      <c r="F41" s="2"/>
      <c r="G41" s="178">
        <f>Estimate!D27</f>
        <v>1</v>
      </c>
      <c r="H41" s="2"/>
    </row>
    <row r="42" spans="1:8">
      <c r="A42" s="91"/>
    </row>
    <row r="43" spans="1:8">
      <c r="A43" s="168" t="s">
        <v>198</v>
      </c>
      <c r="B43" s="262" t="s">
        <v>186</v>
      </c>
      <c r="C43" s="263"/>
      <c r="D43" s="263"/>
      <c r="E43" s="264"/>
      <c r="F43" s="262" t="s">
        <v>199</v>
      </c>
      <c r="G43" s="263"/>
      <c r="H43" s="264"/>
    </row>
    <row r="44" spans="1:8">
      <c r="A44" s="168" t="s">
        <v>200</v>
      </c>
      <c r="B44" s="245" t="str">
        <f>Estimate!B43</f>
        <v>Silicone Sausage</v>
      </c>
      <c r="C44" s="242"/>
      <c r="D44" s="246"/>
      <c r="E44" s="247"/>
      <c r="F44" s="265">
        <f>Estimate!G43</f>
        <v>0</v>
      </c>
      <c r="G44" s="266"/>
      <c r="H44" s="267"/>
    </row>
    <row r="45" spans="1:8">
      <c r="A45" s="168" t="s">
        <v>201</v>
      </c>
      <c r="B45" s="245" t="str">
        <f>Estimate!B45</f>
        <v>Gaco SF-2000</v>
      </c>
      <c r="C45" s="242"/>
      <c r="D45" s="246"/>
      <c r="E45" s="247"/>
      <c r="F45" s="245">
        <f>Estimate!G45</f>
        <v>0</v>
      </c>
      <c r="G45" s="241"/>
      <c r="H45" s="242"/>
    </row>
    <row r="46" spans="1:8">
      <c r="A46" s="168" t="s">
        <v>35</v>
      </c>
      <c r="B46" s="245" t="str">
        <f>Estimate!B33</f>
        <v>Naphtha VM&amp;P</v>
      </c>
      <c r="C46" s="242"/>
      <c r="D46" s="268"/>
      <c r="E46" s="269"/>
      <c r="F46" s="270">
        <f>Estimate!G33</f>
        <v>0</v>
      </c>
      <c r="G46" s="271"/>
      <c r="H46" s="272"/>
    </row>
    <row r="47" spans="1:8">
      <c r="A47" s="168" t="s">
        <v>39</v>
      </c>
      <c r="B47" s="245" t="str">
        <f>Estimate!B39</f>
        <v>Gaco E-5320</v>
      </c>
      <c r="C47" s="242"/>
      <c r="D47" s="268"/>
      <c r="E47" s="269"/>
      <c r="F47" s="270">
        <f>Estimate!G39</f>
        <v>0</v>
      </c>
      <c r="G47" s="271"/>
      <c r="H47" s="272"/>
    </row>
    <row r="48" spans="1:8">
      <c r="A48" s="168" t="s">
        <v>37</v>
      </c>
      <c r="B48" s="245" t="str">
        <f>Estimate!B36</f>
        <v>3M</v>
      </c>
      <c r="C48" s="242"/>
      <c r="D48" s="246"/>
      <c r="E48" s="247"/>
      <c r="F48" s="265">
        <f>Estimate!G36</f>
        <v>0</v>
      </c>
      <c r="G48" s="266"/>
      <c r="H48" s="267"/>
    </row>
    <row r="50" spans="1:8">
      <c r="A50" s="171" t="s">
        <v>202</v>
      </c>
      <c r="B50" s="172"/>
      <c r="C50" s="172"/>
      <c r="D50" s="172"/>
      <c r="E50" s="172"/>
      <c r="F50" s="172"/>
      <c r="G50" s="172"/>
      <c r="H50" s="173"/>
    </row>
    <row r="51" spans="1:8">
      <c r="A51" s="169"/>
      <c r="H51" s="170"/>
    </row>
    <row r="52" spans="1:8">
      <c r="A52" s="169"/>
      <c r="H52" s="170"/>
    </row>
    <row r="53" spans="1:8">
      <c r="A53" s="169"/>
      <c r="H53" s="170"/>
    </row>
    <row r="54" spans="1:8">
      <c r="A54" s="169"/>
      <c r="H54" s="170"/>
    </row>
    <row r="55" spans="1:8">
      <c r="A55" s="174"/>
      <c r="B55" s="175"/>
      <c r="C55" s="175"/>
      <c r="D55" s="175"/>
      <c r="E55" s="175"/>
      <c r="F55" s="175"/>
      <c r="G55" s="175"/>
      <c r="H55" s="176"/>
    </row>
  </sheetData>
  <mergeCells count="41">
    <mergeCell ref="D47:E47"/>
    <mergeCell ref="D48:E48"/>
    <mergeCell ref="F43:H43"/>
    <mergeCell ref="F44:H44"/>
    <mergeCell ref="F45:H45"/>
    <mergeCell ref="F46:H46"/>
    <mergeCell ref="F47:H47"/>
    <mergeCell ref="F48:H48"/>
    <mergeCell ref="D46:E46"/>
    <mergeCell ref="B6:E6"/>
    <mergeCell ref="B48:C48"/>
    <mergeCell ref="B1:C1"/>
    <mergeCell ref="D1:H1"/>
    <mergeCell ref="B44:C44"/>
    <mergeCell ref="B45:C45"/>
    <mergeCell ref="B46:C46"/>
    <mergeCell ref="B47:C47"/>
    <mergeCell ref="G9:H9"/>
    <mergeCell ref="G10:H10"/>
    <mergeCell ref="A11:H11"/>
    <mergeCell ref="A13:H36"/>
    <mergeCell ref="A37:H37"/>
    <mergeCell ref="B43:E43"/>
    <mergeCell ref="D44:E44"/>
    <mergeCell ref="D45:E45"/>
    <mergeCell ref="I2:R2"/>
    <mergeCell ref="A12:H12"/>
    <mergeCell ref="B7:E7"/>
    <mergeCell ref="B8:E8"/>
    <mergeCell ref="B9:E9"/>
    <mergeCell ref="B10:E10"/>
    <mergeCell ref="G3:H3"/>
    <mergeCell ref="G4:H4"/>
    <mergeCell ref="G5:H5"/>
    <mergeCell ref="G6:H6"/>
    <mergeCell ref="G7:H7"/>
    <mergeCell ref="G8:H8"/>
    <mergeCell ref="B2:H2"/>
    <mergeCell ref="B3:E3"/>
    <mergeCell ref="B4:E4"/>
    <mergeCell ref="B5:E5"/>
  </mergeCells>
  <pageMargins left="0.7" right="0.7" top="0.75" bottom="0.75" header="0.3" footer="0.3"/>
  <pageSetup orientation="portrait" r:id="rId1"/>
  <headerFooter>
    <oddHeader>&amp;C&amp;"Arial,Bold"&amp;18Job Specification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617C-B1D2-4241-B508-BC3425416846}">
  <dimension ref="A1:Z35"/>
  <sheetViews>
    <sheetView workbookViewId="0">
      <selection activeCell="A3" sqref="A3"/>
    </sheetView>
  </sheetViews>
  <sheetFormatPr defaultColWidth="9.140625" defaultRowHeight="15"/>
  <cols>
    <col min="1" max="1" width="11.140625" style="180" bestFit="1" customWidth="1"/>
    <col min="2" max="2" width="11.7109375" style="180" bestFit="1" customWidth="1"/>
    <col min="3" max="3" width="12.42578125" style="180" bestFit="1" customWidth="1"/>
    <col min="4" max="4" width="12.42578125" style="180" customWidth="1"/>
    <col min="5" max="5" width="11" style="180" bestFit="1" customWidth="1"/>
    <col min="6" max="6" width="8.42578125" style="180" bestFit="1" customWidth="1"/>
    <col min="7" max="7" width="11.42578125" style="180" bestFit="1" customWidth="1"/>
    <col min="8" max="8" width="13.42578125" style="180" bestFit="1" customWidth="1"/>
    <col min="9" max="9" width="13.85546875" style="180" bestFit="1" customWidth="1"/>
    <col min="10" max="10" width="13.7109375" style="180" bestFit="1" customWidth="1"/>
    <col min="11" max="11" width="12.42578125" style="180" bestFit="1" customWidth="1"/>
    <col min="12" max="13" width="11.7109375" style="180" bestFit="1" customWidth="1"/>
    <col min="14" max="14" width="10" style="180" bestFit="1" customWidth="1"/>
    <col min="15" max="15" width="13" style="180" bestFit="1" customWidth="1"/>
    <col min="16" max="16" width="14.28515625" style="180" bestFit="1" customWidth="1"/>
    <col min="17" max="17" width="8.85546875" style="180" bestFit="1" customWidth="1"/>
    <col min="18" max="18" width="12" style="180" bestFit="1" customWidth="1"/>
    <col min="19" max="19" width="13" style="180" bestFit="1" customWidth="1"/>
    <col min="20" max="20" width="9.140625" style="180" bestFit="1"/>
    <col min="21" max="23" width="8.140625" style="180" bestFit="1" customWidth="1"/>
    <col min="24" max="24" width="7" style="180" customWidth="1"/>
    <col min="25" max="25" width="6.42578125" style="180" bestFit="1" customWidth="1"/>
    <col min="26" max="16384" width="9.140625" style="180"/>
  </cols>
  <sheetData>
    <row r="1" spans="1:26">
      <c r="A1" s="275" t="s">
        <v>206</v>
      </c>
      <c r="B1" s="275"/>
      <c r="C1" s="275"/>
      <c r="D1" s="275"/>
      <c r="E1" s="275"/>
      <c r="F1" s="275"/>
      <c r="G1" s="275"/>
      <c r="H1" s="275"/>
      <c r="I1" s="275"/>
      <c r="J1" s="275"/>
      <c r="K1" s="275"/>
      <c r="L1" s="275"/>
      <c r="M1" s="275"/>
      <c r="N1" s="275"/>
      <c r="O1" s="275"/>
      <c r="P1" s="275"/>
      <c r="Q1" s="275"/>
      <c r="R1" s="275"/>
      <c r="S1" s="275"/>
      <c r="T1" s="275"/>
      <c r="U1" s="275"/>
      <c r="V1" s="275"/>
      <c r="W1" s="275"/>
      <c r="X1" s="275"/>
      <c r="Y1" s="275"/>
    </row>
    <row r="2" spans="1:26" s="182" customFormat="1">
      <c r="A2" s="181"/>
      <c r="B2" s="181" t="s">
        <v>207</v>
      </c>
      <c r="C2" s="181" t="s">
        <v>208</v>
      </c>
      <c r="D2" s="181" t="s">
        <v>209</v>
      </c>
      <c r="E2" s="181" t="s">
        <v>210</v>
      </c>
      <c r="F2" s="181" t="s">
        <v>211</v>
      </c>
      <c r="G2" s="181" t="s">
        <v>212</v>
      </c>
      <c r="H2" s="181" t="s">
        <v>213</v>
      </c>
      <c r="I2" s="181" t="s">
        <v>214</v>
      </c>
      <c r="J2" s="181" t="s">
        <v>215</v>
      </c>
      <c r="K2" s="181" t="s">
        <v>216</v>
      </c>
      <c r="L2" s="181" t="s">
        <v>217</v>
      </c>
      <c r="M2" s="181" t="s">
        <v>218</v>
      </c>
      <c r="N2" s="181" t="s">
        <v>204</v>
      </c>
      <c r="O2" s="181" t="s">
        <v>219</v>
      </c>
      <c r="P2" s="181" t="s">
        <v>220</v>
      </c>
      <c r="Q2" s="181" t="s">
        <v>205</v>
      </c>
      <c r="R2" s="181" t="s">
        <v>221</v>
      </c>
      <c r="S2" s="181" t="s">
        <v>222</v>
      </c>
      <c r="T2" s="181" t="s">
        <v>37</v>
      </c>
      <c r="U2" s="181" t="s">
        <v>200</v>
      </c>
      <c r="V2" s="181" t="s">
        <v>39</v>
      </c>
      <c r="W2" s="181" t="s">
        <v>201</v>
      </c>
      <c r="X2" s="181" t="s">
        <v>223</v>
      </c>
      <c r="Y2" s="181" t="s">
        <v>224</v>
      </c>
    </row>
    <row r="3" spans="1:26" s="184" customFormat="1">
      <c r="A3" s="183"/>
      <c r="B3" s="183"/>
      <c r="C3" s="183"/>
      <c r="D3" s="183"/>
      <c r="E3" s="183"/>
      <c r="F3" s="183"/>
      <c r="G3" s="183"/>
      <c r="H3" s="183"/>
      <c r="I3" s="183"/>
      <c r="J3" s="183"/>
      <c r="K3" s="188" t="str">
        <f t="shared" ref="K3:K15" si="0">IF(OR(H3=0,I3=0,J3=0),"",J3/(H3/1.6)*I3*1000)</f>
        <v/>
      </c>
      <c r="L3" s="183"/>
      <c r="M3" s="183"/>
      <c r="N3" s="183"/>
      <c r="O3" s="183"/>
      <c r="Q3" s="183"/>
      <c r="R3" s="183"/>
      <c r="T3" s="183"/>
      <c r="U3" s="183"/>
      <c r="V3" s="183"/>
      <c r="W3" s="183"/>
      <c r="X3" s="183"/>
      <c r="Y3" s="183"/>
    </row>
    <row r="4" spans="1:26" s="182" customFormat="1">
      <c r="A4" s="185"/>
      <c r="B4" s="186"/>
      <c r="C4" s="186"/>
      <c r="D4" s="186"/>
      <c r="E4" s="186"/>
      <c r="F4" s="186"/>
      <c r="G4" s="186"/>
      <c r="H4" s="187"/>
      <c r="I4" s="187"/>
      <c r="J4" s="187"/>
      <c r="K4" s="188" t="str">
        <f t="shared" si="0"/>
        <v/>
      </c>
      <c r="L4" s="186"/>
      <c r="M4" s="186"/>
      <c r="N4" s="186"/>
      <c r="O4" s="186"/>
      <c r="P4" s="189"/>
      <c r="Q4" s="186"/>
      <c r="R4" s="186"/>
      <c r="S4" s="189"/>
      <c r="T4" s="186"/>
      <c r="U4" s="186"/>
      <c r="V4" s="186"/>
      <c r="W4" s="186"/>
      <c r="X4" s="183"/>
      <c r="Y4" s="190"/>
    </row>
    <row r="5" spans="1:26" s="182" customFormat="1">
      <c r="A5" s="187"/>
      <c r="B5" s="187"/>
      <c r="C5" s="187"/>
      <c r="D5" s="187"/>
      <c r="E5" s="187"/>
      <c r="F5" s="187"/>
      <c r="G5" s="187"/>
      <c r="H5" s="187"/>
      <c r="I5" s="187"/>
      <c r="J5" s="187"/>
      <c r="K5" s="188" t="str">
        <f t="shared" si="0"/>
        <v/>
      </c>
      <c r="L5" s="187"/>
      <c r="M5" s="187"/>
      <c r="N5" s="187"/>
      <c r="O5" s="187"/>
      <c r="P5" s="189"/>
      <c r="Q5" s="187"/>
      <c r="R5" s="187"/>
      <c r="S5" s="189"/>
      <c r="T5" s="187"/>
      <c r="U5" s="187"/>
      <c r="V5" s="187"/>
      <c r="W5" s="187"/>
      <c r="X5" s="187"/>
      <c r="Y5" s="190"/>
      <c r="Z5" s="184"/>
    </row>
    <row r="6" spans="1:26">
      <c r="A6" s="187"/>
      <c r="B6" s="187"/>
      <c r="C6" s="187"/>
      <c r="D6" s="187"/>
      <c r="E6" s="187"/>
      <c r="F6" s="187"/>
      <c r="G6" s="187"/>
      <c r="H6" s="187"/>
      <c r="I6" s="187"/>
      <c r="J6" s="187"/>
      <c r="K6" s="188" t="str">
        <f t="shared" si="0"/>
        <v/>
      </c>
      <c r="L6" s="187"/>
      <c r="M6" s="187"/>
      <c r="N6" s="187"/>
      <c r="O6" s="187"/>
      <c r="P6" s="189"/>
      <c r="Q6" s="187"/>
      <c r="R6" s="187"/>
      <c r="S6" s="189"/>
      <c r="T6" s="187"/>
      <c r="U6" s="187"/>
      <c r="V6" s="187"/>
      <c r="W6" s="187"/>
      <c r="X6" s="187"/>
      <c r="Y6" s="190"/>
      <c r="Z6" s="184"/>
    </row>
    <row r="7" spans="1:26">
      <c r="B7" s="187"/>
      <c r="C7" s="187"/>
      <c r="D7" s="187"/>
      <c r="E7" s="187"/>
      <c r="F7" s="187"/>
      <c r="G7" s="187"/>
      <c r="H7" s="187"/>
      <c r="I7" s="187"/>
      <c r="J7" s="187"/>
      <c r="K7" s="188" t="str">
        <f t="shared" si="0"/>
        <v/>
      </c>
      <c r="L7" s="187"/>
      <c r="M7" s="187"/>
      <c r="N7" s="187"/>
      <c r="O7" s="187"/>
      <c r="P7" s="189"/>
      <c r="Q7" s="187"/>
      <c r="R7" s="187"/>
      <c r="S7" s="189"/>
      <c r="T7" s="187"/>
      <c r="U7" s="187"/>
      <c r="V7" s="187"/>
      <c r="W7" s="187"/>
      <c r="X7" s="187"/>
      <c r="Y7" s="190"/>
      <c r="Z7" s="184"/>
    </row>
    <row r="8" spans="1:26">
      <c r="A8" s="187"/>
      <c r="B8" s="187"/>
      <c r="C8" s="187"/>
      <c r="D8" s="187"/>
      <c r="E8" s="187"/>
      <c r="F8" s="187"/>
      <c r="G8" s="187"/>
      <c r="H8" s="187"/>
      <c r="I8" s="187"/>
      <c r="J8" s="187"/>
      <c r="K8" s="188" t="str">
        <f t="shared" si="0"/>
        <v/>
      </c>
      <c r="L8" s="187"/>
      <c r="M8" s="187"/>
      <c r="N8" s="187"/>
      <c r="O8" s="187"/>
      <c r="P8" s="189"/>
      <c r="Q8" s="187"/>
      <c r="R8" s="187"/>
      <c r="S8" s="189"/>
      <c r="T8" s="187"/>
      <c r="U8" s="187"/>
      <c r="V8" s="187"/>
      <c r="W8" s="187"/>
      <c r="X8" s="187"/>
      <c r="Y8" s="190"/>
      <c r="Z8" s="184"/>
    </row>
    <row r="9" spans="1:26">
      <c r="A9" s="187"/>
      <c r="B9" s="187"/>
      <c r="C9" s="187"/>
      <c r="D9" s="187"/>
      <c r="E9" s="187"/>
      <c r="F9" s="187"/>
      <c r="G9" s="187"/>
      <c r="H9" s="187"/>
      <c r="I9" s="187"/>
      <c r="J9" s="187"/>
      <c r="K9" s="188" t="str">
        <f t="shared" si="0"/>
        <v/>
      </c>
      <c r="L9" s="187"/>
      <c r="M9" s="187"/>
      <c r="N9" s="187"/>
      <c r="O9" s="187"/>
      <c r="P9" s="189"/>
      <c r="Q9" s="187"/>
      <c r="R9" s="187"/>
      <c r="S9" s="189"/>
      <c r="T9" s="187"/>
      <c r="U9" s="187"/>
      <c r="V9" s="187"/>
      <c r="W9" s="187"/>
      <c r="X9" s="187"/>
      <c r="Y9" s="190"/>
      <c r="Z9" s="184"/>
    </row>
    <row r="10" spans="1:26">
      <c r="A10" s="187"/>
      <c r="B10" s="187"/>
      <c r="C10" s="187"/>
      <c r="D10" s="187"/>
      <c r="E10" s="187"/>
      <c r="F10" s="187"/>
      <c r="G10" s="187"/>
      <c r="H10" s="187"/>
      <c r="I10" s="187"/>
      <c r="J10" s="187"/>
      <c r="K10" s="188" t="str">
        <f t="shared" si="0"/>
        <v/>
      </c>
      <c r="L10" s="187"/>
      <c r="M10" s="187"/>
      <c r="N10" s="187"/>
      <c r="O10" s="187"/>
      <c r="P10" s="189"/>
      <c r="Q10" s="187"/>
      <c r="R10" s="187"/>
      <c r="S10" s="189"/>
      <c r="T10" s="187"/>
      <c r="U10" s="187"/>
      <c r="V10" s="187"/>
      <c r="W10" s="187"/>
      <c r="X10" s="187"/>
      <c r="Y10" s="190"/>
      <c r="Z10" s="184"/>
    </row>
    <row r="11" spans="1:26">
      <c r="A11" s="187"/>
      <c r="B11" s="187"/>
      <c r="C11" s="187"/>
      <c r="D11" s="187"/>
      <c r="E11" s="187"/>
      <c r="F11" s="187"/>
      <c r="G11" s="187"/>
      <c r="H11" s="187"/>
      <c r="I11" s="187"/>
      <c r="J11" s="187"/>
      <c r="K11" s="188" t="str">
        <f t="shared" si="0"/>
        <v/>
      </c>
      <c r="L11" s="187"/>
      <c r="M11" s="187"/>
      <c r="N11" s="187"/>
      <c r="O11" s="187"/>
      <c r="P11" s="189"/>
      <c r="Q11" s="187"/>
      <c r="R11" s="187"/>
      <c r="S11" s="189"/>
      <c r="T11" s="187"/>
      <c r="U11" s="187"/>
      <c r="V11" s="187"/>
      <c r="W11" s="187"/>
      <c r="X11" s="187"/>
      <c r="Y11" s="190"/>
      <c r="Z11" s="184"/>
    </row>
    <row r="12" spans="1:26">
      <c r="A12" s="187"/>
      <c r="B12" s="187"/>
      <c r="C12" s="187"/>
      <c r="D12" s="187"/>
      <c r="E12" s="187"/>
      <c r="F12" s="187"/>
      <c r="G12" s="187"/>
      <c r="H12" s="187"/>
      <c r="I12" s="187"/>
      <c r="J12" s="187"/>
      <c r="K12" s="188" t="str">
        <f t="shared" si="0"/>
        <v/>
      </c>
      <c r="L12" s="187"/>
      <c r="M12" s="187"/>
      <c r="N12" s="187"/>
      <c r="O12" s="187"/>
      <c r="P12" s="189"/>
      <c r="Q12" s="187"/>
      <c r="R12" s="187"/>
      <c r="S12" s="189"/>
      <c r="T12" s="187"/>
      <c r="U12" s="187"/>
      <c r="V12" s="187"/>
      <c r="W12" s="187"/>
      <c r="X12" s="187"/>
      <c r="Y12" s="190"/>
      <c r="Z12" s="184"/>
    </row>
    <row r="13" spans="1:26">
      <c r="A13" s="187"/>
      <c r="B13" s="187"/>
      <c r="C13" s="187"/>
      <c r="D13" s="187"/>
      <c r="E13" s="187"/>
      <c r="F13" s="187"/>
      <c r="G13" s="187"/>
      <c r="H13" s="187"/>
      <c r="I13" s="187"/>
      <c r="J13" s="187"/>
      <c r="K13" s="188" t="str">
        <f t="shared" si="0"/>
        <v/>
      </c>
      <c r="L13" s="187"/>
      <c r="M13" s="187"/>
      <c r="N13" s="187"/>
      <c r="O13" s="187"/>
      <c r="P13" s="189"/>
      <c r="Q13" s="187"/>
      <c r="R13" s="187"/>
      <c r="S13" s="189"/>
      <c r="T13" s="187"/>
      <c r="U13" s="187"/>
      <c r="V13" s="187"/>
      <c r="W13" s="187"/>
      <c r="X13" s="187"/>
      <c r="Y13" s="190"/>
      <c r="Z13" s="184"/>
    </row>
    <row r="14" spans="1:26">
      <c r="A14" s="187"/>
      <c r="B14" s="187"/>
      <c r="C14" s="187"/>
      <c r="D14" s="187"/>
      <c r="E14" s="187"/>
      <c r="F14" s="187"/>
      <c r="G14" s="187"/>
      <c r="H14" s="187"/>
      <c r="I14" s="187"/>
      <c r="J14" s="187"/>
      <c r="K14" s="188" t="str">
        <f t="shared" si="0"/>
        <v/>
      </c>
      <c r="L14" s="187"/>
      <c r="M14" s="187"/>
      <c r="N14" s="187"/>
      <c r="O14" s="187"/>
      <c r="P14" s="189"/>
      <c r="Q14" s="187"/>
      <c r="R14" s="187"/>
      <c r="S14" s="189"/>
      <c r="T14" s="187"/>
      <c r="U14" s="187"/>
      <c r="V14" s="187"/>
      <c r="W14" s="187"/>
      <c r="X14" s="187"/>
      <c r="Y14" s="190"/>
      <c r="Z14" s="184"/>
    </row>
    <row r="15" spans="1:26">
      <c r="A15" s="187"/>
      <c r="B15" s="187"/>
      <c r="C15" s="187"/>
      <c r="D15" s="187"/>
      <c r="E15" s="187"/>
      <c r="F15" s="187"/>
      <c r="G15" s="187"/>
      <c r="H15" s="187"/>
      <c r="I15" s="187"/>
      <c r="J15" s="187"/>
      <c r="K15" s="188" t="str">
        <f t="shared" si="0"/>
        <v/>
      </c>
      <c r="L15" s="187"/>
      <c r="M15" s="187"/>
      <c r="N15" s="187"/>
      <c r="O15" s="187"/>
      <c r="P15" s="189"/>
      <c r="Q15" s="187"/>
      <c r="R15" s="187"/>
      <c r="S15" s="189"/>
      <c r="T15" s="187"/>
      <c r="U15" s="187"/>
      <c r="V15" s="187"/>
      <c r="W15" s="187"/>
      <c r="X15" s="187"/>
      <c r="Y15" s="190"/>
      <c r="Z15" s="184"/>
    </row>
    <row r="16" spans="1:26">
      <c r="A16" s="187"/>
      <c r="B16" s="187"/>
      <c r="C16" s="187"/>
      <c r="D16" s="187"/>
      <c r="E16" s="187"/>
      <c r="F16" s="187"/>
      <c r="G16" s="187"/>
      <c r="H16" s="187"/>
      <c r="I16" s="187"/>
      <c r="J16" s="187"/>
      <c r="K16" s="188" t="str">
        <f t="shared" ref="K16:K18" si="1">IF(OR(H16=0,I16=0,J16=0),"",J16/(H16/1.6)*I16*1000)</f>
        <v/>
      </c>
      <c r="L16" s="187"/>
      <c r="M16" s="187"/>
      <c r="N16" s="187"/>
      <c r="O16" s="187"/>
      <c r="P16" s="189" t="str">
        <f t="shared" ref="P16:P18" si="2">IF(OR(N16=0,O16=0),"",N16/(O16/100)/1.2)</f>
        <v/>
      </c>
      <c r="Q16" s="187"/>
      <c r="R16" s="187"/>
      <c r="S16" s="189" t="str">
        <f t="shared" ref="S16:S18" si="3">IF(OR(Q16=0,R16=0),"",Q16/(R16/100)/1.2)</f>
        <v/>
      </c>
      <c r="T16" s="187"/>
      <c r="U16" s="187"/>
      <c r="V16" s="187"/>
      <c r="W16" s="187"/>
      <c r="X16" s="187"/>
      <c r="Y16" s="190"/>
      <c r="Z16" s="184"/>
    </row>
    <row r="17" spans="1:26">
      <c r="A17" s="187"/>
      <c r="B17" s="187"/>
      <c r="C17" s="187"/>
      <c r="D17" s="187"/>
      <c r="E17" s="187"/>
      <c r="F17" s="187"/>
      <c r="G17" s="187"/>
      <c r="H17" s="187"/>
      <c r="I17" s="187"/>
      <c r="J17" s="187"/>
      <c r="K17" s="188" t="str">
        <f t="shared" si="1"/>
        <v/>
      </c>
      <c r="L17" s="187"/>
      <c r="M17" s="187"/>
      <c r="N17" s="187"/>
      <c r="O17" s="187"/>
      <c r="P17" s="189" t="str">
        <f t="shared" si="2"/>
        <v/>
      </c>
      <c r="Q17" s="187"/>
      <c r="R17" s="187"/>
      <c r="S17" s="189" t="str">
        <f t="shared" si="3"/>
        <v/>
      </c>
      <c r="T17" s="187"/>
      <c r="U17" s="187"/>
      <c r="V17" s="187"/>
      <c r="W17" s="187"/>
      <c r="X17" s="187"/>
      <c r="Y17" s="190"/>
      <c r="Z17" s="184"/>
    </row>
    <row r="18" spans="1:26">
      <c r="A18" s="187"/>
      <c r="B18" s="187"/>
      <c r="C18" s="187"/>
      <c r="D18" s="187"/>
      <c r="E18" s="187"/>
      <c r="F18" s="187"/>
      <c r="G18" s="187"/>
      <c r="H18" s="187"/>
      <c r="I18" s="187"/>
      <c r="J18" s="187"/>
      <c r="K18" s="188" t="str">
        <f t="shared" si="1"/>
        <v/>
      </c>
      <c r="L18" s="187"/>
      <c r="M18" s="187"/>
      <c r="N18" s="187"/>
      <c r="O18" s="187"/>
      <c r="P18" s="189" t="str">
        <f t="shared" si="2"/>
        <v/>
      </c>
      <c r="Q18" s="187"/>
      <c r="R18" s="187"/>
      <c r="S18" s="189" t="str">
        <f t="shared" si="3"/>
        <v/>
      </c>
      <c r="T18" s="187"/>
      <c r="U18" s="187"/>
      <c r="V18" s="187"/>
      <c r="W18" s="187"/>
      <c r="X18" s="187"/>
      <c r="Y18" s="190"/>
      <c r="Z18" s="184"/>
    </row>
    <row r="19" spans="1:26">
      <c r="A19" s="273" t="s">
        <v>225</v>
      </c>
      <c r="B19" s="273"/>
      <c r="C19" s="273"/>
      <c r="D19" s="273"/>
      <c r="E19" s="273"/>
      <c r="F19" s="273"/>
      <c r="G19" s="273"/>
      <c r="H19" s="273"/>
      <c r="I19" s="273"/>
      <c r="J19" s="273"/>
      <c r="K19" s="273"/>
      <c r="L19" s="273"/>
      <c r="M19" s="273"/>
      <c r="N19" s="273"/>
      <c r="O19" s="273"/>
      <c r="P19" s="273"/>
      <c r="Q19" s="273"/>
      <c r="R19" s="273"/>
      <c r="S19" s="273"/>
      <c r="T19" s="273"/>
      <c r="U19" s="273"/>
      <c r="V19" s="273"/>
      <c r="W19" s="273"/>
      <c r="X19" s="273"/>
      <c r="Y19" s="273"/>
      <c r="Z19" s="184"/>
    </row>
    <row r="20" spans="1:26">
      <c r="A20" s="187"/>
      <c r="B20" s="187"/>
      <c r="C20" s="187"/>
      <c r="D20" s="187"/>
      <c r="E20" s="187">
        <f>SUM(E3:E19)</f>
        <v>0</v>
      </c>
      <c r="F20" s="187"/>
      <c r="G20" s="187"/>
      <c r="H20" s="187">
        <f>SUM(H3:H19)</f>
        <v>0</v>
      </c>
      <c r="I20" s="187"/>
      <c r="J20" s="187"/>
      <c r="K20" s="187"/>
      <c r="L20" s="187"/>
      <c r="M20" s="187"/>
      <c r="N20" s="187"/>
      <c r="O20" s="187"/>
      <c r="P20" s="187"/>
      <c r="Q20" s="187"/>
      <c r="R20" s="187"/>
      <c r="S20" s="187"/>
      <c r="T20" s="187"/>
      <c r="U20" s="187"/>
      <c r="V20" s="187"/>
      <c r="W20" s="187"/>
      <c r="X20" s="187"/>
      <c r="Y20" s="187"/>
    </row>
    <row r="21" spans="1:26">
      <c r="A21" s="187" t="s">
        <v>226</v>
      </c>
      <c r="B21" s="187">
        <f>SUM(B3:B19)</f>
        <v>0</v>
      </c>
      <c r="C21" s="187">
        <f>SUM(C3:C19)</f>
        <v>0</v>
      </c>
      <c r="D21" s="187">
        <f>SUM(D3:D19)</f>
        <v>0</v>
      </c>
      <c r="E21" s="191">
        <f>E20*25</f>
        <v>0</v>
      </c>
      <c r="F21" s="187">
        <f>SUM(F3:F19)</f>
        <v>0</v>
      </c>
      <c r="G21" s="187">
        <f>SUM(G3:G19)</f>
        <v>0</v>
      </c>
      <c r="H21" s="187">
        <f>H20/1.6</f>
        <v>0</v>
      </c>
      <c r="I21" s="187" t="e">
        <f>AVERAGE(I4:I19)</f>
        <v>#DIV/0!</v>
      </c>
      <c r="J21" s="187">
        <f>SUM(J4:J19)</f>
        <v>0</v>
      </c>
      <c r="K21" s="192" t="e">
        <f>AVERAGE(K4:K19)</f>
        <v>#DIV/0!</v>
      </c>
      <c r="L21" s="187"/>
      <c r="M21" s="187"/>
      <c r="N21" s="187">
        <f>SUM(N3:N19)</f>
        <v>0</v>
      </c>
      <c r="O21" s="187">
        <f>SUM(O3:O19)</f>
        <v>0</v>
      </c>
      <c r="P21" s="193" t="e">
        <f>AVERAGE(P3:P19)</f>
        <v>#DIV/0!</v>
      </c>
      <c r="Q21" s="187">
        <f>SUM(Q3:Q19)</f>
        <v>0</v>
      </c>
      <c r="R21" s="187">
        <f>SUM(R3:R19)</f>
        <v>0</v>
      </c>
      <c r="S21" s="193" t="e">
        <f>AVERAGE(S3:S19)</f>
        <v>#DIV/0!</v>
      </c>
      <c r="T21" s="187">
        <f>SUM(T3:T19)</f>
        <v>0</v>
      </c>
      <c r="U21" s="187">
        <f t="shared" ref="U21:W21" si="4">SUM(U3:U19)</f>
        <v>0</v>
      </c>
      <c r="V21" s="187">
        <f t="shared" si="4"/>
        <v>0</v>
      </c>
      <c r="W21" s="187">
        <f t="shared" si="4"/>
        <v>0</v>
      </c>
      <c r="X21" s="191"/>
      <c r="Y21" s="187"/>
    </row>
    <row r="22" spans="1:26">
      <c r="A22" s="187"/>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row>
    <row r="23" spans="1:26">
      <c r="A23" s="274" t="s">
        <v>227</v>
      </c>
      <c r="B23" s="274"/>
      <c r="C23" s="274"/>
      <c r="D23" s="274"/>
      <c r="E23" s="274"/>
      <c r="F23" s="274"/>
      <c r="G23" s="274"/>
      <c r="H23" s="274"/>
      <c r="I23" s="274"/>
      <c r="J23" s="274"/>
      <c r="K23" s="274"/>
      <c r="L23" s="274"/>
      <c r="M23" s="274"/>
      <c r="N23" s="274"/>
      <c r="O23" s="274"/>
      <c r="P23" s="274"/>
      <c r="Q23" s="274"/>
      <c r="R23" s="274"/>
      <c r="S23" s="274"/>
      <c r="T23" s="274"/>
      <c r="U23" s="274"/>
      <c r="V23" s="274"/>
      <c r="W23" s="274"/>
      <c r="X23" s="274"/>
      <c r="Y23" s="274"/>
    </row>
    <row r="24" spans="1:26">
      <c r="A24" s="181"/>
      <c r="B24" s="181" t="str">
        <f>B2</f>
        <v>Labor Hours</v>
      </c>
      <c r="C24" s="181" t="str">
        <f>C2</f>
        <v>Travel Hours</v>
      </c>
      <c r="D24" s="181" t="str">
        <f>D2</f>
        <v>Load Hours</v>
      </c>
      <c r="E24" s="181" t="s">
        <v>228</v>
      </c>
      <c r="F24" s="181" t="str">
        <f>F2</f>
        <v>Mileage</v>
      </c>
      <c r="G24" s="181" t="str">
        <f>G2</f>
        <v>OS Mileage</v>
      </c>
      <c r="H24" s="181" t="s">
        <v>229</v>
      </c>
      <c r="I24" s="181" t="str">
        <f>I2</f>
        <v>Thickness (in.)</v>
      </c>
      <c r="J24" s="181" t="str">
        <f>J2</f>
        <v>Sq. Ft. (Foam)</v>
      </c>
      <c r="K24" s="181" t="s">
        <v>216</v>
      </c>
      <c r="L24" s="181"/>
      <c r="M24" s="181"/>
      <c r="N24" s="181" t="str">
        <f t="shared" ref="N24:V24" si="5">N2</f>
        <v>Base Coat</v>
      </c>
      <c r="O24" s="181" t="str">
        <f t="shared" si="5"/>
        <v>Sq. Ft. (Base)</v>
      </c>
      <c r="P24" s="181" t="str">
        <f t="shared" si="5"/>
        <v>Gal/Sq. (Base)</v>
      </c>
      <c r="Q24" s="181" t="str">
        <f t="shared" si="5"/>
        <v>Top Coat</v>
      </c>
      <c r="R24" s="181" t="str">
        <f t="shared" si="5"/>
        <v>Sq. Ft. (Top)</v>
      </c>
      <c r="S24" s="181" t="str">
        <f t="shared" si="5"/>
        <v>Gal/Sq. (Top)</v>
      </c>
      <c r="T24" s="181" t="str">
        <f t="shared" si="5"/>
        <v>Granules</v>
      </c>
      <c r="U24" s="181" t="str">
        <f t="shared" si="5"/>
        <v>Caulk</v>
      </c>
      <c r="V24" s="181" t="str">
        <f t="shared" si="5"/>
        <v>Primer</v>
      </c>
      <c r="W24" s="181" t="s">
        <v>201</v>
      </c>
      <c r="X24" s="181"/>
      <c r="Y24" s="181"/>
    </row>
    <row r="25" spans="1:26" s="182" customFormat="1">
      <c r="A25" s="187"/>
      <c r="B25" s="187">
        <f>SUM(Estimate!D116:D134)</f>
        <v>0</v>
      </c>
      <c r="C25" s="187">
        <f>Estimate!E139*Estimate!C139*Estimate!B108</f>
        <v>0</v>
      </c>
      <c r="D25" s="187">
        <f>Estimate!E137*Estimate!C137*Estimate!B108</f>
        <v>0</v>
      </c>
      <c r="E25" s="191">
        <f>Estimate!H165</f>
        <v>0</v>
      </c>
      <c r="F25" s="187">
        <f>Estimate!B108*Estimate!C108</f>
        <v>0</v>
      </c>
      <c r="G25" s="187">
        <f>Estimate!B106*Estimate!C106</f>
        <v>0</v>
      </c>
      <c r="H25" s="200">
        <f>SUM(Estimate!G19:G21)</f>
        <v>0</v>
      </c>
      <c r="I25" s="193"/>
      <c r="J25" s="200">
        <f>SUM(Estimate!C19:C21)</f>
        <v>0</v>
      </c>
      <c r="K25" s="194"/>
      <c r="L25" s="187"/>
      <c r="M25" s="187"/>
      <c r="N25" s="199">
        <f>Estimate!G26</f>
        <v>0</v>
      </c>
      <c r="O25" s="200">
        <f>Estimate!C27</f>
        <v>0</v>
      </c>
      <c r="P25" s="195">
        <f>Estimate!D26</f>
        <v>1</v>
      </c>
      <c r="Q25" s="199">
        <f>Estimate!G27</f>
        <v>0</v>
      </c>
      <c r="R25" s="200">
        <f>Estimate!C27</f>
        <v>0</v>
      </c>
      <c r="S25" s="193">
        <f>Estimate!D27</f>
        <v>1</v>
      </c>
      <c r="T25" s="192">
        <f>Estimate!G36</f>
        <v>0</v>
      </c>
      <c r="U25" s="192">
        <f>Estimate!G43</f>
        <v>0</v>
      </c>
      <c r="V25" s="199">
        <f>Estimate!G39</f>
        <v>0</v>
      </c>
      <c r="W25" s="187">
        <f>Estimate!G45</f>
        <v>0</v>
      </c>
      <c r="X25" s="191"/>
      <c r="Y25" s="187"/>
    </row>
    <row r="26" spans="1:26">
      <c r="A26" s="274" t="s">
        <v>230</v>
      </c>
      <c r="B26" s="274"/>
      <c r="C26" s="274"/>
      <c r="D26" s="274"/>
      <c r="E26" s="274"/>
      <c r="F26" s="274"/>
      <c r="G26" s="274"/>
      <c r="H26" s="274"/>
      <c r="I26" s="274"/>
      <c r="J26" s="274"/>
      <c r="K26" s="274"/>
      <c r="L26" s="274"/>
      <c r="M26" s="274"/>
      <c r="N26" s="274"/>
      <c r="O26" s="274"/>
      <c r="P26" s="274"/>
      <c r="Q26" s="274"/>
      <c r="R26" s="274"/>
      <c r="S26" s="274"/>
      <c r="T26" s="274"/>
      <c r="U26" s="274"/>
      <c r="V26" s="274"/>
      <c r="W26" s="274"/>
      <c r="X26" s="274"/>
      <c r="Y26" s="274"/>
    </row>
    <row r="27" spans="1:26" s="196" customFormat="1">
      <c r="A27" s="181"/>
      <c r="B27" s="181" t="str">
        <f>B2</f>
        <v>Labor Hours</v>
      </c>
      <c r="C27" s="181" t="str">
        <f>C2</f>
        <v>Travel Hours</v>
      </c>
      <c r="D27" s="181" t="str">
        <f>D2</f>
        <v>Load Hours</v>
      </c>
      <c r="E27" s="181" t="s">
        <v>228</v>
      </c>
      <c r="F27" s="181" t="str">
        <f>F2</f>
        <v>Mileage</v>
      </c>
      <c r="G27" s="181" t="str">
        <f>G2</f>
        <v>OS Mileage</v>
      </c>
      <c r="H27" s="181" t="str">
        <f>H24</f>
        <v>Foam (lbs.)</v>
      </c>
      <c r="I27" s="181" t="str">
        <f>I2</f>
        <v>Thickness (in.)</v>
      </c>
      <c r="J27" s="181" t="str">
        <f>J2</f>
        <v>Sq. Ft. (Foam)</v>
      </c>
      <c r="K27" s="181" t="s">
        <v>216</v>
      </c>
      <c r="L27" s="181"/>
      <c r="M27" s="181"/>
      <c r="N27" s="181" t="str">
        <f t="shared" ref="N27:W27" si="6">N2</f>
        <v>Base Coat</v>
      </c>
      <c r="O27" s="181" t="str">
        <f t="shared" si="6"/>
        <v>Sq. Ft. (Base)</v>
      </c>
      <c r="P27" s="181" t="str">
        <f t="shared" si="6"/>
        <v>Gal/Sq. (Base)</v>
      </c>
      <c r="Q27" s="181" t="str">
        <f t="shared" si="6"/>
        <v>Top Coat</v>
      </c>
      <c r="R27" s="181" t="str">
        <f t="shared" si="6"/>
        <v>Sq. Ft. (Top)</v>
      </c>
      <c r="S27" s="181" t="str">
        <f t="shared" si="6"/>
        <v>Gal/Sq. (Top)</v>
      </c>
      <c r="T27" s="181" t="str">
        <f t="shared" si="6"/>
        <v>Granules</v>
      </c>
      <c r="U27" s="181" t="str">
        <f t="shared" si="6"/>
        <v>Caulk</v>
      </c>
      <c r="V27" s="181" t="str">
        <f t="shared" si="6"/>
        <v>Primer</v>
      </c>
      <c r="W27" s="181" t="str">
        <f t="shared" si="6"/>
        <v>SF</v>
      </c>
      <c r="X27" s="181"/>
      <c r="Y27" s="181"/>
    </row>
    <row r="28" spans="1:26" s="182" customFormat="1">
      <c r="A28" s="187"/>
      <c r="B28" s="187">
        <f>B25-B21</f>
        <v>0</v>
      </c>
      <c r="C28" s="187">
        <f>C25-C21</f>
        <v>0</v>
      </c>
      <c r="D28" s="187">
        <f>D25-D21</f>
        <v>0</v>
      </c>
      <c r="E28" s="191">
        <f>E25-E21</f>
        <v>0</v>
      </c>
      <c r="F28" s="187">
        <f t="shared" ref="F28:W28" si="7">F25-F21</f>
        <v>0</v>
      </c>
      <c r="G28" s="187">
        <f t="shared" si="7"/>
        <v>0</v>
      </c>
      <c r="H28" s="187">
        <f t="shared" si="7"/>
        <v>0</v>
      </c>
      <c r="I28" s="187" t="e">
        <f>I25-I21</f>
        <v>#DIV/0!</v>
      </c>
      <c r="J28" s="187">
        <f>J25-J21</f>
        <v>0</v>
      </c>
      <c r="K28" s="192" t="e">
        <f>K21-K25</f>
        <v>#DIV/0!</v>
      </c>
      <c r="L28" s="187"/>
      <c r="M28" s="187"/>
      <c r="N28" s="187">
        <f t="shared" si="7"/>
        <v>0</v>
      </c>
      <c r="O28" s="187">
        <f t="shared" si="7"/>
        <v>0</v>
      </c>
      <c r="P28" s="193" t="e">
        <f>P25-P21</f>
        <v>#DIV/0!</v>
      </c>
      <c r="Q28" s="187">
        <f t="shared" si="7"/>
        <v>0</v>
      </c>
      <c r="R28" s="187">
        <f t="shared" si="7"/>
        <v>0</v>
      </c>
      <c r="S28" s="193" t="e">
        <f t="shared" si="7"/>
        <v>#DIV/0!</v>
      </c>
      <c r="T28" s="187">
        <f t="shared" si="7"/>
        <v>0</v>
      </c>
      <c r="U28" s="187">
        <f t="shared" si="7"/>
        <v>0</v>
      </c>
      <c r="V28" s="187">
        <f t="shared" si="7"/>
        <v>0</v>
      </c>
      <c r="W28" s="187">
        <f t="shared" si="7"/>
        <v>0</v>
      </c>
      <c r="X28" s="191"/>
      <c r="Y28" s="187"/>
    </row>
    <row r="29" spans="1:26">
      <c r="A29" s="187"/>
      <c r="B29" s="197" t="e">
        <f>B21/B25</f>
        <v>#DIV/0!</v>
      </c>
      <c r="C29" s="197" t="e">
        <f>C21/C25</f>
        <v>#DIV/0!</v>
      </c>
      <c r="D29" s="197" t="e">
        <f>D21/D25</f>
        <v>#DIV/0!</v>
      </c>
      <c r="E29" s="197" t="e">
        <f>E21/E25</f>
        <v>#DIV/0!</v>
      </c>
      <c r="F29" s="197" t="e">
        <f t="shared" ref="F29:G29" si="8">F21/F25</f>
        <v>#DIV/0!</v>
      </c>
      <c r="G29" s="197" t="e">
        <f t="shared" si="8"/>
        <v>#DIV/0!</v>
      </c>
      <c r="H29" s="197" t="e">
        <f>H21/H25</f>
        <v>#DIV/0!</v>
      </c>
      <c r="I29" s="197"/>
      <c r="J29" s="197" t="e">
        <f t="shared" ref="J29" si="9">J21/J25</f>
        <v>#DIV/0!</v>
      </c>
      <c r="K29" s="197"/>
      <c r="L29" s="197"/>
      <c r="M29" s="197"/>
      <c r="N29" s="197" t="e">
        <f>N21/N25</f>
        <v>#DIV/0!</v>
      </c>
      <c r="O29" s="197" t="e">
        <f t="shared" ref="O29:W29" si="10">O21/O25</f>
        <v>#DIV/0!</v>
      </c>
      <c r="P29" s="197"/>
      <c r="Q29" s="197" t="e">
        <f t="shared" si="10"/>
        <v>#DIV/0!</v>
      </c>
      <c r="R29" s="197" t="e">
        <f t="shared" si="10"/>
        <v>#DIV/0!</v>
      </c>
      <c r="S29" s="197"/>
      <c r="T29" s="197" t="e">
        <f t="shared" si="10"/>
        <v>#DIV/0!</v>
      </c>
      <c r="U29" s="197" t="e">
        <f t="shared" si="10"/>
        <v>#DIV/0!</v>
      </c>
      <c r="V29" s="197" t="e">
        <f t="shared" si="10"/>
        <v>#DIV/0!</v>
      </c>
      <c r="W29" s="197" t="e">
        <f t="shared" si="10"/>
        <v>#DIV/0!</v>
      </c>
      <c r="X29" s="197"/>
      <c r="Y29" s="187"/>
    </row>
    <row r="30" spans="1:26">
      <c r="A30" s="187"/>
      <c r="B30" s="191"/>
      <c r="C30" s="191"/>
      <c r="D30" s="191"/>
      <c r="E30" s="191"/>
      <c r="F30" s="191"/>
      <c r="G30" s="191"/>
      <c r="H30" s="191"/>
      <c r="I30" s="191"/>
      <c r="J30" s="191"/>
      <c r="K30" s="191"/>
      <c r="L30" s="191"/>
      <c r="M30" s="191"/>
      <c r="N30" s="191"/>
      <c r="O30" s="191"/>
      <c r="P30" s="191"/>
      <c r="Q30" s="191"/>
      <c r="R30" s="191"/>
      <c r="S30" s="191"/>
      <c r="T30" s="191"/>
      <c r="U30" s="191"/>
      <c r="V30" s="191"/>
      <c r="W30" s="191"/>
      <c r="X30" s="187"/>
      <c r="Y30" s="187"/>
    </row>
    <row r="31" spans="1:26">
      <c r="A31" s="187"/>
      <c r="B31" s="187"/>
      <c r="C31" s="187"/>
      <c r="D31" s="187"/>
      <c r="E31" s="187"/>
      <c r="F31" s="187"/>
      <c r="G31" s="187"/>
      <c r="H31" s="187"/>
      <c r="I31" s="187"/>
      <c r="J31" s="187"/>
      <c r="K31" s="187"/>
      <c r="L31" s="187"/>
      <c r="M31" s="187"/>
      <c r="N31" s="187"/>
      <c r="O31" s="187"/>
      <c r="P31" s="187"/>
      <c r="Q31" s="187"/>
      <c r="R31" s="187"/>
      <c r="S31" s="187"/>
      <c r="T31" s="187"/>
      <c r="U31" s="187"/>
      <c r="V31" s="187"/>
      <c r="W31" s="187"/>
      <c r="X31" s="187"/>
      <c r="Y31" s="187"/>
    </row>
    <row r="32" spans="1:26">
      <c r="A32" s="187"/>
      <c r="B32" s="187"/>
      <c r="C32" s="187"/>
      <c r="D32" s="187"/>
      <c r="E32" s="187"/>
      <c r="F32" s="187"/>
      <c r="G32" s="187"/>
      <c r="H32" s="187"/>
      <c r="I32" s="187"/>
      <c r="J32" s="187"/>
      <c r="K32" s="187"/>
      <c r="L32" s="187"/>
      <c r="M32" s="187"/>
      <c r="N32" s="187"/>
      <c r="O32" s="187"/>
      <c r="P32" s="187"/>
      <c r="Q32" s="187"/>
      <c r="R32" s="187"/>
      <c r="S32" s="187"/>
      <c r="T32" s="187"/>
      <c r="U32" s="187"/>
      <c r="V32" s="191"/>
      <c r="W32" s="191"/>
      <c r="X32" s="187"/>
      <c r="Y32" s="187"/>
    </row>
    <row r="33" spans="1:25">
      <c r="A33" s="187"/>
      <c r="B33" s="187"/>
      <c r="C33" s="187"/>
      <c r="D33" s="187"/>
      <c r="E33" s="187"/>
      <c r="F33" s="187"/>
      <c r="G33" s="187"/>
      <c r="H33" s="187"/>
      <c r="I33" s="187"/>
      <c r="J33" s="187"/>
      <c r="K33" s="187"/>
      <c r="L33" s="187"/>
      <c r="M33" s="187"/>
      <c r="N33" s="187"/>
      <c r="O33" s="187"/>
      <c r="P33" s="187"/>
      <c r="Q33" s="187"/>
      <c r="R33" s="187"/>
      <c r="S33" s="187"/>
      <c r="T33" s="187"/>
      <c r="U33" s="187"/>
      <c r="V33" s="191"/>
      <c r="W33" s="191"/>
      <c r="X33" s="187"/>
      <c r="Y33" s="187"/>
    </row>
    <row r="34" spans="1:25">
      <c r="A34" s="187"/>
      <c r="B34" s="187"/>
      <c r="C34" s="187"/>
      <c r="D34" s="187"/>
      <c r="E34" s="187"/>
      <c r="F34" s="187"/>
      <c r="G34" s="187"/>
      <c r="H34" s="187"/>
      <c r="I34" s="187"/>
      <c r="J34" s="187"/>
      <c r="K34" s="187"/>
      <c r="L34" s="187"/>
      <c r="M34" s="187"/>
      <c r="N34" s="187"/>
      <c r="O34" s="187"/>
      <c r="P34" s="187"/>
      <c r="Q34" s="187"/>
      <c r="R34" s="187"/>
      <c r="S34" s="187"/>
      <c r="T34" s="187"/>
      <c r="U34" s="187"/>
      <c r="V34" s="191"/>
      <c r="W34" s="191"/>
      <c r="X34" s="187"/>
      <c r="Y34" s="187"/>
    </row>
    <row r="35" spans="1:25">
      <c r="T35"/>
      <c r="V35" s="198"/>
      <c r="W35" s="198"/>
    </row>
  </sheetData>
  <mergeCells count="4">
    <mergeCell ref="A19:Y19"/>
    <mergeCell ref="A23:Y23"/>
    <mergeCell ref="A26:Y26"/>
    <mergeCell ref="A1:Y1"/>
  </mergeCells>
  <conditionalFormatting sqref="B28:Y28">
    <cfRule type="cellIs" dxfId="3" priority="3" operator="lessThan">
      <formula>0</formula>
    </cfRule>
    <cfRule type="cellIs" dxfId="2" priority="4" operator="greaterThan">
      <formula>0</formula>
    </cfRule>
  </conditionalFormatting>
  <conditionalFormatting sqref="I28 P28 S28">
    <cfRule type="cellIs" dxfId="1" priority="1" operator="equal">
      <formula>0</formula>
    </cfRule>
    <cfRule type="cellIs" dxfId="0" priority="2"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BB8E-AC93-4644-A353-055514A748C2}">
  <dimension ref="A1:G201"/>
  <sheetViews>
    <sheetView workbookViewId="0">
      <selection activeCell="G8" sqref="G8"/>
    </sheetView>
  </sheetViews>
  <sheetFormatPr defaultRowHeight="12.75"/>
  <cols>
    <col min="1" max="1" width="14.140625" customWidth="1"/>
    <col min="2" max="2" width="15.5703125" customWidth="1"/>
    <col min="3" max="3" width="68.5703125" customWidth="1"/>
    <col min="4" max="4" width="38.5703125" bestFit="1" customWidth="1"/>
    <col min="5" max="5" width="11.42578125" customWidth="1"/>
    <col min="7" max="7" width="11.28515625" customWidth="1"/>
  </cols>
  <sheetData>
    <row r="1" spans="1:7" s="162" customFormat="1" ht="25.5">
      <c r="A1" s="162" t="s">
        <v>231</v>
      </c>
      <c r="B1" s="162" t="s">
        <v>232</v>
      </c>
      <c r="C1" s="162" t="s">
        <v>233</v>
      </c>
      <c r="D1" s="162" t="s">
        <v>234</v>
      </c>
      <c r="E1" s="159" t="s">
        <v>235</v>
      </c>
      <c r="F1" s="159" t="s">
        <v>236</v>
      </c>
      <c r="G1" s="159" t="s">
        <v>237</v>
      </c>
    </row>
    <row r="2" spans="1:7">
      <c r="A2" s="91"/>
      <c r="B2" s="91"/>
      <c r="C2" s="91"/>
      <c r="E2" s="201" t="b">
        <v>0</v>
      </c>
      <c r="F2" s="201" t="b">
        <v>0</v>
      </c>
      <c r="G2" s="202"/>
    </row>
    <row r="3" spans="1:7">
      <c r="A3" s="91"/>
      <c r="B3" s="91"/>
      <c r="C3" s="91"/>
      <c r="E3" s="201" t="b">
        <v>0</v>
      </c>
      <c r="F3" s="201" t="b">
        <v>0</v>
      </c>
      <c r="G3" s="202"/>
    </row>
    <row r="4" spans="1:7">
      <c r="A4" s="91"/>
      <c r="B4" s="91"/>
      <c r="C4" s="91"/>
      <c r="D4" s="91"/>
      <c r="E4" s="201" t="b">
        <v>0</v>
      </c>
      <c r="F4" s="201" t="b">
        <v>0</v>
      </c>
      <c r="G4" s="202"/>
    </row>
    <row r="5" spans="1:7">
      <c r="E5" s="201" t="b">
        <v>0</v>
      </c>
      <c r="F5" s="201" t="b">
        <v>0</v>
      </c>
      <c r="G5" s="202"/>
    </row>
    <row r="6" spans="1:7">
      <c r="E6" s="201" t="b">
        <v>0</v>
      </c>
      <c r="F6" s="201" t="b">
        <v>0</v>
      </c>
      <c r="G6" s="202"/>
    </row>
    <row r="7" spans="1:7">
      <c r="E7" s="201" t="b">
        <v>0</v>
      </c>
      <c r="F7" s="201" t="b">
        <v>0</v>
      </c>
      <c r="G7" s="202"/>
    </row>
    <row r="8" spans="1:7">
      <c r="E8" s="201" t="b">
        <v>0</v>
      </c>
      <c r="F8" s="201" t="b">
        <v>0</v>
      </c>
      <c r="G8" s="202"/>
    </row>
    <row r="9" spans="1:7">
      <c r="E9" s="201" t="b">
        <v>0</v>
      </c>
      <c r="F9" s="201" t="b">
        <v>0</v>
      </c>
      <c r="G9" s="202"/>
    </row>
    <row r="10" spans="1:7">
      <c r="E10" s="201" t="b">
        <v>0</v>
      </c>
      <c r="F10" s="201" t="b">
        <v>0</v>
      </c>
      <c r="G10" s="202"/>
    </row>
    <row r="11" spans="1:7">
      <c r="E11" s="201" t="b">
        <v>0</v>
      </c>
      <c r="F11" s="201" t="b">
        <v>0</v>
      </c>
      <c r="G11" s="202"/>
    </row>
    <row r="12" spans="1:7">
      <c r="E12" s="201" t="b">
        <v>0</v>
      </c>
      <c r="F12" s="201" t="b">
        <v>0</v>
      </c>
      <c r="G12" s="202"/>
    </row>
    <row r="13" spans="1:7">
      <c r="E13" s="201" t="b">
        <v>0</v>
      </c>
      <c r="F13" s="201" t="b">
        <v>0</v>
      </c>
      <c r="G13" s="202"/>
    </row>
    <row r="14" spans="1:7">
      <c r="E14" s="201" t="b">
        <v>0</v>
      </c>
      <c r="F14" s="201" t="b">
        <v>0</v>
      </c>
      <c r="G14" s="202"/>
    </row>
    <row r="15" spans="1:7">
      <c r="E15" s="201" t="b">
        <v>0</v>
      </c>
      <c r="F15" s="201" t="b">
        <v>0</v>
      </c>
      <c r="G15" s="202"/>
    </row>
    <row r="16" spans="1:7">
      <c r="E16" s="201" t="b">
        <v>0</v>
      </c>
      <c r="F16" s="201" t="b">
        <v>0</v>
      </c>
      <c r="G16" s="202"/>
    </row>
    <row r="17" spans="5:7">
      <c r="E17" s="201" t="b">
        <v>0</v>
      </c>
      <c r="F17" s="201" t="b">
        <v>0</v>
      </c>
      <c r="G17" s="202"/>
    </row>
    <row r="18" spans="5:7">
      <c r="E18" s="201" t="b">
        <v>0</v>
      </c>
      <c r="F18" s="201" t="b">
        <v>0</v>
      </c>
      <c r="G18" s="202"/>
    </row>
    <row r="19" spans="5:7">
      <c r="E19" s="201" t="b">
        <v>0</v>
      </c>
      <c r="F19" s="201" t="b">
        <v>0</v>
      </c>
      <c r="G19" s="202"/>
    </row>
    <row r="20" spans="5:7">
      <c r="E20" s="201" t="b">
        <v>0</v>
      </c>
      <c r="F20" s="201" t="b">
        <v>0</v>
      </c>
      <c r="G20" s="202"/>
    </row>
    <row r="21" spans="5:7">
      <c r="E21" s="201" t="b">
        <v>0</v>
      </c>
      <c r="F21" s="201" t="b">
        <v>0</v>
      </c>
      <c r="G21" s="202"/>
    </row>
    <row r="22" spans="5:7">
      <c r="E22" s="201" t="b">
        <v>0</v>
      </c>
      <c r="F22" s="201" t="b">
        <v>0</v>
      </c>
      <c r="G22" s="202"/>
    </row>
    <row r="23" spans="5:7">
      <c r="E23" s="201" t="b">
        <v>0</v>
      </c>
      <c r="F23" s="201" t="b">
        <v>0</v>
      </c>
      <c r="G23" s="202"/>
    </row>
    <row r="24" spans="5:7">
      <c r="E24" s="201" t="b">
        <v>0</v>
      </c>
      <c r="F24" s="201" t="b">
        <v>0</v>
      </c>
      <c r="G24" s="202"/>
    </row>
    <row r="25" spans="5:7">
      <c r="E25" s="201" t="b">
        <v>0</v>
      </c>
      <c r="F25" s="201" t="b">
        <v>0</v>
      </c>
      <c r="G25" s="202"/>
    </row>
    <row r="26" spans="5:7">
      <c r="E26" s="201" t="b">
        <v>0</v>
      </c>
      <c r="F26" s="201" t="b">
        <v>0</v>
      </c>
      <c r="G26" s="202"/>
    </row>
    <row r="27" spans="5:7">
      <c r="E27" s="201" t="b">
        <v>0</v>
      </c>
      <c r="F27" s="201" t="b">
        <v>0</v>
      </c>
      <c r="G27" s="202"/>
    </row>
    <row r="28" spans="5:7">
      <c r="E28" s="201" t="b">
        <v>0</v>
      </c>
      <c r="F28" s="201" t="b">
        <v>0</v>
      </c>
      <c r="G28" s="202"/>
    </row>
    <row r="29" spans="5:7">
      <c r="E29" s="201" t="b">
        <v>0</v>
      </c>
      <c r="F29" s="201" t="b">
        <v>0</v>
      </c>
      <c r="G29" s="202"/>
    </row>
    <row r="30" spans="5:7">
      <c r="E30" s="201" t="b">
        <v>0</v>
      </c>
      <c r="F30" s="201" t="b">
        <v>0</v>
      </c>
      <c r="G30" s="202"/>
    </row>
    <row r="31" spans="5:7">
      <c r="E31" s="201" t="b">
        <v>0</v>
      </c>
      <c r="F31" s="201" t="b">
        <v>0</v>
      </c>
      <c r="G31" s="202"/>
    </row>
    <row r="32" spans="5:7">
      <c r="E32" s="201" t="b">
        <v>0</v>
      </c>
      <c r="F32" s="201" t="b">
        <v>0</v>
      </c>
      <c r="G32" s="202"/>
    </row>
    <row r="33" spans="5:7">
      <c r="E33" s="201" t="b">
        <v>0</v>
      </c>
      <c r="F33" s="201" t="b">
        <v>0</v>
      </c>
      <c r="G33" s="202"/>
    </row>
    <row r="34" spans="5:7">
      <c r="E34" s="201" t="b">
        <v>0</v>
      </c>
      <c r="F34" s="201" t="b">
        <v>0</v>
      </c>
      <c r="G34" s="202"/>
    </row>
    <row r="35" spans="5:7">
      <c r="E35" s="201" t="b">
        <v>0</v>
      </c>
      <c r="F35" s="201" t="b">
        <v>0</v>
      </c>
      <c r="G35" s="202"/>
    </row>
    <row r="36" spans="5:7">
      <c r="E36" s="201" t="b">
        <v>0</v>
      </c>
      <c r="F36" s="201" t="b">
        <v>0</v>
      </c>
      <c r="G36" s="202"/>
    </row>
    <row r="37" spans="5:7">
      <c r="E37" s="201" t="b">
        <v>0</v>
      </c>
      <c r="F37" s="201" t="b">
        <v>0</v>
      </c>
      <c r="G37" s="202"/>
    </row>
    <row r="38" spans="5:7">
      <c r="E38" s="201" t="b">
        <v>0</v>
      </c>
      <c r="F38" s="201" t="b">
        <v>0</v>
      </c>
      <c r="G38" s="202"/>
    </row>
    <row r="39" spans="5:7">
      <c r="E39" s="201" t="b">
        <v>0</v>
      </c>
      <c r="F39" s="201" t="b">
        <v>0</v>
      </c>
      <c r="G39" s="202"/>
    </row>
    <row r="40" spans="5:7">
      <c r="E40" s="201" t="b">
        <v>0</v>
      </c>
      <c r="F40" s="201" t="b">
        <v>0</v>
      </c>
      <c r="G40" s="202"/>
    </row>
    <row r="41" spans="5:7">
      <c r="E41" s="201" t="b">
        <v>0</v>
      </c>
      <c r="F41" s="201" t="b">
        <v>0</v>
      </c>
      <c r="G41" s="202"/>
    </row>
    <row r="42" spans="5:7">
      <c r="E42" s="201" t="b">
        <v>0</v>
      </c>
      <c r="F42" s="201" t="b">
        <v>0</v>
      </c>
      <c r="G42" s="202"/>
    </row>
    <row r="43" spans="5:7">
      <c r="E43" s="201" t="b">
        <v>0</v>
      </c>
      <c r="F43" s="201" t="b">
        <v>0</v>
      </c>
      <c r="G43" s="202"/>
    </row>
    <row r="44" spans="5:7">
      <c r="E44" s="201" t="b">
        <v>0</v>
      </c>
      <c r="F44" s="201" t="b">
        <v>0</v>
      </c>
      <c r="G44" s="202"/>
    </row>
    <row r="45" spans="5:7">
      <c r="E45" s="201" t="b">
        <v>0</v>
      </c>
      <c r="F45" s="201" t="b">
        <v>0</v>
      </c>
      <c r="G45" s="202"/>
    </row>
    <row r="46" spans="5:7">
      <c r="E46" s="201" t="b">
        <v>0</v>
      </c>
      <c r="F46" s="201" t="b">
        <v>0</v>
      </c>
      <c r="G46" s="202"/>
    </row>
    <row r="47" spans="5:7">
      <c r="E47" s="201" t="b">
        <v>0</v>
      </c>
      <c r="F47" s="201" t="b">
        <v>0</v>
      </c>
      <c r="G47" s="202"/>
    </row>
    <row r="48" spans="5:7">
      <c r="E48" s="201" t="b">
        <v>0</v>
      </c>
      <c r="F48" s="201" t="b">
        <v>0</v>
      </c>
      <c r="G48" s="202"/>
    </row>
    <row r="49" spans="5:7">
      <c r="E49" s="201" t="b">
        <v>0</v>
      </c>
      <c r="F49" s="201" t="b">
        <v>0</v>
      </c>
      <c r="G49" s="202"/>
    </row>
    <row r="50" spans="5:7">
      <c r="E50" s="201" t="b">
        <v>0</v>
      </c>
      <c r="F50" s="201" t="b">
        <v>0</v>
      </c>
      <c r="G50" s="202"/>
    </row>
    <row r="51" spans="5:7">
      <c r="E51" s="201" t="b">
        <v>0</v>
      </c>
      <c r="F51" s="201" t="b">
        <v>0</v>
      </c>
      <c r="G51" s="202"/>
    </row>
    <row r="52" spans="5:7">
      <c r="E52" s="201" t="b">
        <v>0</v>
      </c>
      <c r="F52" s="201" t="b">
        <v>0</v>
      </c>
      <c r="G52" s="202"/>
    </row>
    <row r="53" spans="5:7">
      <c r="E53" s="201" t="b">
        <v>0</v>
      </c>
      <c r="F53" s="201" t="b">
        <v>0</v>
      </c>
      <c r="G53" s="202"/>
    </row>
    <row r="54" spans="5:7">
      <c r="E54" s="201" t="b">
        <v>0</v>
      </c>
      <c r="F54" s="201" t="b">
        <v>0</v>
      </c>
      <c r="G54" s="202"/>
    </row>
    <row r="55" spans="5:7">
      <c r="E55" s="201" t="b">
        <v>0</v>
      </c>
      <c r="F55" s="201" t="b">
        <v>0</v>
      </c>
      <c r="G55" s="202"/>
    </row>
    <row r="56" spans="5:7">
      <c r="E56" s="201" t="b">
        <v>0</v>
      </c>
      <c r="F56" s="201" t="b">
        <v>0</v>
      </c>
      <c r="G56" s="202"/>
    </row>
    <row r="57" spans="5:7">
      <c r="E57" s="201" t="b">
        <v>0</v>
      </c>
      <c r="F57" s="201" t="b">
        <v>0</v>
      </c>
      <c r="G57" s="202"/>
    </row>
    <row r="58" spans="5:7">
      <c r="E58" s="201" t="b">
        <v>0</v>
      </c>
      <c r="F58" s="201" t="b">
        <v>0</v>
      </c>
      <c r="G58" s="202"/>
    </row>
    <row r="59" spans="5:7">
      <c r="E59" s="201" t="b">
        <v>0</v>
      </c>
      <c r="F59" s="201" t="b">
        <v>0</v>
      </c>
      <c r="G59" s="202"/>
    </row>
    <row r="60" spans="5:7">
      <c r="E60" s="201" t="b">
        <v>0</v>
      </c>
      <c r="F60" s="201" t="b">
        <v>0</v>
      </c>
      <c r="G60" s="202"/>
    </row>
    <row r="61" spans="5:7">
      <c r="E61" s="201" t="b">
        <v>0</v>
      </c>
      <c r="F61" s="201" t="b">
        <v>0</v>
      </c>
      <c r="G61" s="202"/>
    </row>
    <row r="62" spans="5:7">
      <c r="E62" s="201" t="b">
        <v>0</v>
      </c>
      <c r="F62" s="201" t="b">
        <v>0</v>
      </c>
      <c r="G62" s="202"/>
    </row>
    <row r="63" spans="5:7">
      <c r="E63" s="201" t="b">
        <v>0</v>
      </c>
      <c r="F63" s="201" t="b">
        <v>0</v>
      </c>
      <c r="G63" s="202"/>
    </row>
    <row r="64" spans="5:7">
      <c r="E64" s="201" t="b">
        <v>0</v>
      </c>
      <c r="F64" s="201" t="b">
        <v>0</v>
      </c>
      <c r="G64" s="202"/>
    </row>
    <row r="65" spans="5:7">
      <c r="E65" s="201" t="b">
        <v>0</v>
      </c>
      <c r="F65" s="201" t="b">
        <v>0</v>
      </c>
      <c r="G65" s="202"/>
    </row>
    <row r="66" spans="5:7">
      <c r="E66" s="201" t="b">
        <v>0</v>
      </c>
      <c r="F66" s="201" t="b">
        <v>0</v>
      </c>
      <c r="G66" s="202"/>
    </row>
    <row r="67" spans="5:7">
      <c r="E67" s="201" t="b">
        <v>0</v>
      </c>
      <c r="F67" s="201" t="b">
        <v>0</v>
      </c>
      <c r="G67" s="202"/>
    </row>
    <row r="68" spans="5:7">
      <c r="E68" s="201" t="b">
        <v>0</v>
      </c>
      <c r="F68" s="201" t="b">
        <v>0</v>
      </c>
      <c r="G68" s="202"/>
    </row>
    <row r="69" spans="5:7">
      <c r="E69" s="201" t="b">
        <v>0</v>
      </c>
      <c r="F69" s="201" t="b">
        <v>0</v>
      </c>
      <c r="G69" s="202"/>
    </row>
    <row r="70" spans="5:7">
      <c r="E70" s="201" t="b">
        <v>0</v>
      </c>
      <c r="F70" s="201" t="b">
        <v>0</v>
      </c>
      <c r="G70" s="202"/>
    </row>
    <row r="71" spans="5:7">
      <c r="E71" s="201" t="b">
        <v>0</v>
      </c>
      <c r="F71" s="201" t="b">
        <v>0</v>
      </c>
      <c r="G71" s="202"/>
    </row>
    <row r="72" spans="5:7">
      <c r="E72" s="201" t="b">
        <v>0</v>
      </c>
      <c r="F72" s="201" t="b">
        <v>0</v>
      </c>
      <c r="G72" s="202"/>
    </row>
    <row r="73" spans="5:7">
      <c r="E73" s="201" t="b">
        <v>0</v>
      </c>
      <c r="F73" s="201" t="b">
        <v>0</v>
      </c>
      <c r="G73" s="202"/>
    </row>
    <row r="74" spans="5:7">
      <c r="E74" s="201" t="b">
        <v>0</v>
      </c>
      <c r="F74" s="201" t="b">
        <v>0</v>
      </c>
      <c r="G74" s="202"/>
    </row>
    <row r="75" spans="5:7">
      <c r="E75" s="201" t="b">
        <v>0</v>
      </c>
      <c r="F75" s="201" t="b">
        <v>0</v>
      </c>
      <c r="G75" s="202"/>
    </row>
    <row r="76" spans="5:7">
      <c r="E76" s="201" t="b">
        <v>0</v>
      </c>
      <c r="F76" s="201" t="b">
        <v>0</v>
      </c>
      <c r="G76" s="202"/>
    </row>
    <row r="77" spans="5:7">
      <c r="E77" s="201" t="b">
        <v>0</v>
      </c>
      <c r="F77" s="201" t="b">
        <v>0</v>
      </c>
      <c r="G77" s="202"/>
    </row>
    <row r="78" spans="5:7">
      <c r="E78" s="201" t="b">
        <v>0</v>
      </c>
      <c r="F78" s="201" t="b">
        <v>0</v>
      </c>
      <c r="G78" s="202"/>
    </row>
    <row r="79" spans="5:7">
      <c r="E79" s="201" t="b">
        <v>0</v>
      </c>
      <c r="F79" s="201" t="b">
        <v>0</v>
      </c>
      <c r="G79" s="202"/>
    </row>
    <row r="80" spans="5:7">
      <c r="E80" s="201" t="b">
        <v>0</v>
      </c>
      <c r="F80" s="201" t="b">
        <v>0</v>
      </c>
      <c r="G80" s="202"/>
    </row>
    <row r="81" spans="5:7">
      <c r="E81" s="201" t="b">
        <v>0</v>
      </c>
      <c r="F81" s="201" t="b">
        <v>0</v>
      </c>
      <c r="G81" s="202"/>
    </row>
    <row r="82" spans="5:7">
      <c r="E82" s="201" t="b">
        <v>0</v>
      </c>
      <c r="F82" s="201" t="b">
        <v>0</v>
      </c>
      <c r="G82" s="202"/>
    </row>
    <row r="83" spans="5:7">
      <c r="E83" s="201" t="b">
        <v>0</v>
      </c>
      <c r="F83" s="201" t="b">
        <v>0</v>
      </c>
      <c r="G83" s="202"/>
    </row>
    <row r="84" spans="5:7">
      <c r="E84" s="201" t="b">
        <v>0</v>
      </c>
      <c r="F84" s="201" t="b">
        <v>0</v>
      </c>
      <c r="G84" s="202"/>
    </row>
    <row r="85" spans="5:7">
      <c r="E85" s="201" t="b">
        <v>0</v>
      </c>
      <c r="F85" s="201" t="b">
        <v>0</v>
      </c>
      <c r="G85" s="202"/>
    </row>
    <row r="86" spans="5:7">
      <c r="E86" s="201" t="b">
        <v>0</v>
      </c>
      <c r="F86" s="201" t="b">
        <v>0</v>
      </c>
      <c r="G86" s="202"/>
    </row>
    <row r="87" spans="5:7">
      <c r="E87" s="201" t="b">
        <v>0</v>
      </c>
      <c r="F87" s="201" t="b">
        <v>0</v>
      </c>
      <c r="G87" s="202"/>
    </row>
    <row r="88" spans="5:7">
      <c r="E88" s="201" t="b">
        <v>0</v>
      </c>
      <c r="F88" s="201" t="b">
        <v>0</v>
      </c>
      <c r="G88" s="202"/>
    </row>
    <row r="89" spans="5:7">
      <c r="E89" s="201" t="b">
        <v>0</v>
      </c>
      <c r="F89" s="201" t="b">
        <v>0</v>
      </c>
      <c r="G89" s="202"/>
    </row>
    <row r="90" spans="5:7">
      <c r="E90" s="201" t="b">
        <v>0</v>
      </c>
      <c r="F90" s="201" t="b">
        <v>0</v>
      </c>
      <c r="G90" s="202"/>
    </row>
    <row r="91" spans="5:7">
      <c r="E91" s="201" t="b">
        <v>0</v>
      </c>
      <c r="F91" s="201" t="b">
        <v>0</v>
      </c>
      <c r="G91" s="202"/>
    </row>
    <row r="92" spans="5:7">
      <c r="E92" s="201" t="b">
        <v>0</v>
      </c>
      <c r="F92" s="201" t="b">
        <v>0</v>
      </c>
      <c r="G92" s="202"/>
    </row>
    <row r="93" spans="5:7">
      <c r="E93" s="201" t="b">
        <v>0</v>
      </c>
      <c r="F93" s="201" t="b">
        <v>0</v>
      </c>
      <c r="G93" s="202"/>
    </row>
    <row r="94" spans="5:7">
      <c r="E94" s="201" t="b">
        <v>0</v>
      </c>
      <c r="F94" s="201" t="b">
        <v>0</v>
      </c>
      <c r="G94" s="202"/>
    </row>
    <row r="95" spans="5:7">
      <c r="E95" s="201" t="b">
        <v>0</v>
      </c>
      <c r="F95" s="201" t="b">
        <v>0</v>
      </c>
      <c r="G95" s="202"/>
    </row>
    <row r="96" spans="5:7">
      <c r="E96" s="201" t="b">
        <v>0</v>
      </c>
      <c r="F96" s="201" t="b">
        <v>0</v>
      </c>
      <c r="G96" s="202"/>
    </row>
    <row r="97" spans="5:7">
      <c r="E97" s="201" t="b">
        <v>0</v>
      </c>
      <c r="F97" s="201" t="b">
        <v>0</v>
      </c>
      <c r="G97" s="202"/>
    </row>
    <row r="98" spans="5:7">
      <c r="E98" s="201" t="b">
        <v>0</v>
      </c>
      <c r="F98" s="201" t="b">
        <v>0</v>
      </c>
      <c r="G98" s="202"/>
    </row>
    <row r="99" spans="5:7">
      <c r="E99" s="201" t="b">
        <v>0</v>
      </c>
      <c r="F99" s="201" t="b">
        <v>0</v>
      </c>
      <c r="G99" s="202"/>
    </row>
    <row r="100" spans="5:7">
      <c r="E100" s="201" t="b">
        <v>0</v>
      </c>
      <c r="F100" s="201" t="b">
        <v>0</v>
      </c>
      <c r="G100" s="202"/>
    </row>
    <row r="101" spans="5:7">
      <c r="E101" s="201" t="b">
        <v>0</v>
      </c>
      <c r="F101" s="201" t="b">
        <v>0</v>
      </c>
      <c r="G101" s="202"/>
    </row>
    <row r="102" spans="5:7">
      <c r="E102" s="201" t="b">
        <v>0</v>
      </c>
      <c r="F102" s="201" t="b">
        <v>0</v>
      </c>
      <c r="G102" s="202"/>
    </row>
    <row r="103" spans="5:7">
      <c r="E103" s="201" t="b">
        <v>0</v>
      </c>
      <c r="F103" s="201" t="b">
        <v>0</v>
      </c>
      <c r="G103" s="202"/>
    </row>
    <row r="104" spans="5:7">
      <c r="E104" s="201" t="b">
        <v>0</v>
      </c>
      <c r="F104" s="201" t="b">
        <v>0</v>
      </c>
      <c r="G104" s="202"/>
    </row>
    <row r="105" spans="5:7">
      <c r="E105" s="201" t="b">
        <v>0</v>
      </c>
      <c r="F105" s="201" t="b">
        <v>0</v>
      </c>
      <c r="G105" s="202"/>
    </row>
    <row r="106" spans="5:7">
      <c r="E106" s="201" t="b">
        <v>0</v>
      </c>
      <c r="F106" s="201" t="b">
        <v>0</v>
      </c>
      <c r="G106" s="202"/>
    </row>
    <row r="107" spans="5:7">
      <c r="E107" s="201" t="b">
        <v>0</v>
      </c>
      <c r="F107" s="201" t="b">
        <v>0</v>
      </c>
      <c r="G107" s="202"/>
    </row>
    <row r="108" spans="5:7">
      <c r="E108" s="201" t="b">
        <v>0</v>
      </c>
      <c r="F108" s="201" t="b">
        <v>0</v>
      </c>
      <c r="G108" s="202"/>
    </row>
    <row r="109" spans="5:7">
      <c r="E109" s="201" t="b">
        <v>0</v>
      </c>
      <c r="F109" s="201" t="b">
        <v>0</v>
      </c>
      <c r="G109" s="202"/>
    </row>
    <row r="110" spans="5:7">
      <c r="E110" s="201" t="b">
        <v>0</v>
      </c>
      <c r="F110" s="201" t="b">
        <v>0</v>
      </c>
      <c r="G110" s="202"/>
    </row>
    <row r="111" spans="5:7">
      <c r="E111" s="201" t="b">
        <v>0</v>
      </c>
      <c r="F111" s="201" t="b">
        <v>0</v>
      </c>
      <c r="G111" s="202"/>
    </row>
    <row r="112" spans="5:7">
      <c r="E112" s="201" t="b">
        <v>0</v>
      </c>
      <c r="F112" s="201" t="b">
        <v>0</v>
      </c>
      <c r="G112" s="202"/>
    </row>
    <row r="113" spans="5:7">
      <c r="E113" s="201" t="b">
        <v>0</v>
      </c>
      <c r="F113" s="201" t="b">
        <v>0</v>
      </c>
      <c r="G113" s="202"/>
    </row>
    <row r="114" spans="5:7">
      <c r="E114" s="201" t="b">
        <v>0</v>
      </c>
      <c r="F114" s="201" t="b">
        <v>0</v>
      </c>
      <c r="G114" s="202"/>
    </row>
    <row r="115" spans="5:7">
      <c r="E115" s="201" t="b">
        <v>0</v>
      </c>
      <c r="F115" s="201" t="b">
        <v>0</v>
      </c>
      <c r="G115" s="202"/>
    </row>
    <row r="116" spans="5:7">
      <c r="E116" s="201" t="b">
        <v>0</v>
      </c>
      <c r="F116" s="201" t="b">
        <v>0</v>
      </c>
      <c r="G116" s="202"/>
    </row>
    <row r="117" spans="5:7">
      <c r="E117" s="201" t="b">
        <v>0</v>
      </c>
      <c r="F117" s="201" t="b">
        <v>0</v>
      </c>
      <c r="G117" s="202"/>
    </row>
    <row r="118" spans="5:7">
      <c r="E118" s="201" t="b">
        <v>0</v>
      </c>
      <c r="F118" s="201" t="b">
        <v>0</v>
      </c>
      <c r="G118" s="202"/>
    </row>
    <row r="119" spans="5:7">
      <c r="E119" s="201" t="b">
        <v>0</v>
      </c>
      <c r="F119" s="201" t="b">
        <v>0</v>
      </c>
      <c r="G119" s="202"/>
    </row>
    <row r="120" spans="5:7">
      <c r="E120" s="201" t="b">
        <v>0</v>
      </c>
      <c r="F120" s="201" t="b">
        <v>0</v>
      </c>
      <c r="G120" s="202"/>
    </row>
    <row r="121" spans="5:7">
      <c r="E121" s="201" t="b">
        <v>0</v>
      </c>
      <c r="F121" s="201" t="b">
        <v>0</v>
      </c>
      <c r="G121" s="202"/>
    </row>
    <row r="122" spans="5:7">
      <c r="E122" s="201" t="b">
        <v>0</v>
      </c>
      <c r="F122" s="201" t="b">
        <v>0</v>
      </c>
      <c r="G122" s="202"/>
    </row>
    <row r="123" spans="5:7">
      <c r="E123" s="201" t="b">
        <v>0</v>
      </c>
      <c r="F123" s="201" t="b">
        <v>0</v>
      </c>
      <c r="G123" s="202"/>
    </row>
    <row r="124" spans="5:7">
      <c r="E124" s="201" t="b">
        <v>0</v>
      </c>
      <c r="F124" s="201" t="b">
        <v>0</v>
      </c>
      <c r="G124" s="202"/>
    </row>
    <row r="125" spans="5:7">
      <c r="E125" s="201" t="b">
        <v>0</v>
      </c>
      <c r="F125" s="201" t="b">
        <v>0</v>
      </c>
      <c r="G125" s="202"/>
    </row>
    <row r="126" spans="5:7">
      <c r="E126" s="201" t="b">
        <v>0</v>
      </c>
      <c r="F126" s="201" t="b">
        <v>0</v>
      </c>
      <c r="G126" s="202"/>
    </row>
    <row r="127" spans="5:7">
      <c r="E127" s="201" t="b">
        <v>0</v>
      </c>
      <c r="F127" s="201" t="b">
        <v>0</v>
      </c>
      <c r="G127" s="202"/>
    </row>
    <row r="128" spans="5:7">
      <c r="E128" s="201" t="b">
        <v>0</v>
      </c>
      <c r="F128" s="201" t="b">
        <v>0</v>
      </c>
      <c r="G128" s="202"/>
    </row>
    <row r="129" spans="5:7">
      <c r="E129" s="201" t="b">
        <v>0</v>
      </c>
      <c r="F129" s="201" t="b">
        <v>0</v>
      </c>
      <c r="G129" s="202"/>
    </row>
    <row r="130" spans="5:7">
      <c r="E130" s="201" t="b">
        <v>0</v>
      </c>
      <c r="F130" s="201" t="b">
        <v>0</v>
      </c>
      <c r="G130" s="202"/>
    </row>
    <row r="131" spans="5:7">
      <c r="E131" s="201" t="b">
        <v>0</v>
      </c>
      <c r="F131" s="201" t="b">
        <v>0</v>
      </c>
      <c r="G131" s="202"/>
    </row>
    <row r="132" spans="5:7">
      <c r="E132" s="201" t="b">
        <v>0</v>
      </c>
      <c r="F132" s="201" t="b">
        <v>0</v>
      </c>
      <c r="G132" s="202"/>
    </row>
    <row r="133" spans="5:7">
      <c r="E133" s="201" t="b">
        <v>0</v>
      </c>
      <c r="F133" s="201" t="b">
        <v>0</v>
      </c>
      <c r="G133" s="202"/>
    </row>
    <row r="134" spans="5:7">
      <c r="E134" s="201" t="b">
        <v>0</v>
      </c>
      <c r="F134" s="201" t="b">
        <v>0</v>
      </c>
      <c r="G134" s="202"/>
    </row>
    <row r="135" spans="5:7">
      <c r="E135" s="201" t="b">
        <v>0</v>
      </c>
      <c r="F135" s="201" t="b">
        <v>0</v>
      </c>
      <c r="G135" s="202"/>
    </row>
    <row r="136" spans="5:7">
      <c r="E136" s="201" t="b">
        <v>0</v>
      </c>
      <c r="F136" s="201" t="b">
        <v>0</v>
      </c>
      <c r="G136" s="202"/>
    </row>
    <row r="137" spans="5:7">
      <c r="E137" s="201" t="b">
        <v>0</v>
      </c>
      <c r="F137" s="201" t="b">
        <v>0</v>
      </c>
      <c r="G137" s="202"/>
    </row>
    <row r="138" spans="5:7">
      <c r="E138" s="201" t="b">
        <v>0</v>
      </c>
      <c r="F138" s="201" t="b">
        <v>0</v>
      </c>
      <c r="G138" s="202"/>
    </row>
    <row r="139" spans="5:7">
      <c r="E139" s="201" t="b">
        <v>0</v>
      </c>
      <c r="F139" s="201" t="b">
        <v>0</v>
      </c>
      <c r="G139" s="202"/>
    </row>
    <row r="140" spans="5:7">
      <c r="E140" s="201" t="b">
        <v>0</v>
      </c>
      <c r="F140" s="201" t="b">
        <v>0</v>
      </c>
      <c r="G140" s="202"/>
    </row>
    <row r="141" spans="5:7">
      <c r="E141" s="201" t="b">
        <v>0</v>
      </c>
      <c r="F141" s="201" t="b">
        <v>0</v>
      </c>
      <c r="G141" s="202"/>
    </row>
    <row r="142" spans="5:7">
      <c r="E142" s="201" t="b">
        <v>0</v>
      </c>
      <c r="F142" s="201" t="b">
        <v>0</v>
      </c>
      <c r="G142" s="202"/>
    </row>
    <row r="143" spans="5:7">
      <c r="E143" s="201" t="b">
        <v>0</v>
      </c>
      <c r="F143" s="201" t="b">
        <v>0</v>
      </c>
      <c r="G143" s="202"/>
    </row>
    <row r="144" spans="5:7">
      <c r="E144" s="201" t="b">
        <v>0</v>
      </c>
      <c r="F144" s="201" t="b">
        <v>0</v>
      </c>
      <c r="G144" s="202"/>
    </row>
    <row r="145" spans="5:7">
      <c r="E145" s="201" t="b">
        <v>0</v>
      </c>
      <c r="F145" s="201" t="b">
        <v>0</v>
      </c>
      <c r="G145" s="202"/>
    </row>
    <row r="146" spans="5:7">
      <c r="E146" s="201" t="b">
        <v>0</v>
      </c>
      <c r="F146" s="201" t="b">
        <v>0</v>
      </c>
      <c r="G146" s="202"/>
    </row>
    <row r="147" spans="5:7">
      <c r="E147" s="201" t="b">
        <v>0</v>
      </c>
      <c r="F147" s="201" t="b">
        <v>0</v>
      </c>
      <c r="G147" s="202"/>
    </row>
    <row r="148" spans="5:7">
      <c r="E148" s="201" t="b">
        <v>0</v>
      </c>
      <c r="F148" s="201" t="b">
        <v>0</v>
      </c>
      <c r="G148" s="202"/>
    </row>
    <row r="149" spans="5:7">
      <c r="E149" s="201" t="b">
        <v>0</v>
      </c>
      <c r="F149" s="201" t="b">
        <v>0</v>
      </c>
      <c r="G149" s="202"/>
    </row>
    <row r="150" spans="5:7">
      <c r="E150" s="201" t="b">
        <v>0</v>
      </c>
      <c r="F150" s="201" t="b">
        <v>0</v>
      </c>
      <c r="G150" s="202"/>
    </row>
    <row r="151" spans="5:7">
      <c r="E151" s="201" t="b">
        <v>0</v>
      </c>
      <c r="F151" s="201" t="b">
        <v>0</v>
      </c>
      <c r="G151" s="202"/>
    </row>
    <row r="152" spans="5:7">
      <c r="E152" s="201" t="b">
        <v>0</v>
      </c>
      <c r="F152" s="201" t="b">
        <v>0</v>
      </c>
      <c r="G152" s="202"/>
    </row>
    <row r="153" spans="5:7">
      <c r="E153" s="201" t="b">
        <v>0</v>
      </c>
      <c r="F153" s="201" t="b">
        <v>0</v>
      </c>
      <c r="G153" s="202"/>
    </row>
    <row r="154" spans="5:7">
      <c r="E154" s="201" t="b">
        <v>0</v>
      </c>
      <c r="F154" s="201" t="b">
        <v>0</v>
      </c>
      <c r="G154" s="202"/>
    </row>
    <row r="155" spans="5:7">
      <c r="E155" s="201" t="b">
        <v>0</v>
      </c>
      <c r="F155" s="201" t="b">
        <v>0</v>
      </c>
      <c r="G155" s="202"/>
    </row>
    <row r="156" spans="5:7">
      <c r="E156" s="201" t="b">
        <v>0</v>
      </c>
      <c r="F156" s="201" t="b">
        <v>0</v>
      </c>
      <c r="G156" s="202"/>
    </row>
    <row r="157" spans="5:7">
      <c r="E157" s="201" t="b">
        <v>0</v>
      </c>
      <c r="F157" s="201" t="b">
        <v>0</v>
      </c>
      <c r="G157" s="202"/>
    </row>
    <row r="158" spans="5:7">
      <c r="E158" s="201" t="b">
        <v>0</v>
      </c>
      <c r="F158" s="201" t="b">
        <v>0</v>
      </c>
      <c r="G158" s="202"/>
    </row>
    <row r="159" spans="5:7">
      <c r="E159" s="201" t="b">
        <v>0</v>
      </c>
      <c r="F159" s="201" t="b">
        <v>0</v>
      </c>
      <c r="G159" s="202"/>
    </row>
    <row r="160" spans="5:7">
      <c r="E160" s="201" t="b">
        <v>0</v>
      </c>
      <c r="F160" s="201" t="b">
        <v>0</v>
      </c>
      <c r="G160" s="202"/>
    </row>
    <row r="161" spans="5:7">
      <c r="E161" s="201" t="b">
        <v>0</v>
      </c>
      <c r="F161" s="201" t="b">
        <v>0</v>
      </c>
      <c r="G161" s="202"/>
    </row>
    <row r="162" spans="5:7">
      <c r="E162" s="201" t="b">
        <v>0</v>
      </c>
      <c r="F162" s="201" t="b">
        <v>0</v>
      </c>
      <c r="G162" s="202"/>
    </row>
    <row r="163" spans="5:7">
      <c r="E163" s="201" t="b">
        <v>0</v>
      </c>
      <c r="F163" s="201" t="b">
        <v>0</v>
      </c>
      <c r="G163" s="202"/>
    </row>
    <row r="164" spans="5:7">
      <c r="E164" s="201" t="b">
        <v>0</v>
      </c>
      <c r="F164" s="201" t="b">
        <v>0</v>
      </c>
      <c r="G164" s="202"/>
    </row>
    <row r="165" spans="5:7">
      <c r="E165" s="201" t="b">
        <v>0</v>
      </c>
      <c r="F165" s="201" t="b">
        <v>0</v>
      </c>
      <c r="G165" s="202"/>
    </row>
    <row r="166" spans="5:7">
      <c r="E166" s="201" t="b">
        <v>0</v>
      </c>
      <c r="F166" s="201" t="b">
        <v>0</v>
      </c>
      <c r="G166" s="202"/>
    </row>
    <row r="167" spans="5:7">
      <c r="E167" s="201" t="b">
        <v>0</v>
      </c>
      <c r="F167" s="201" t="b">
        <v>0</v>
      </c>
      <c r="G167" s="202"/>
    </row>
    <row r="168" spans="5:7">
      <c r="E168" s="201" t="b">
        <v>0</v>
      </c>
      <c r="F168" s="201" t="b">
        <v>0</v>
      </c>
      <c r="G168" s="202"/>
    </row>
    <row r="169" spans="5:7">
      <c r="E169" s="201" t="b">
        <v>0</v>
      </c>
      <c r="F169" s="201" t="b">
        <v>0</v>
      </c>
      <c r="G169" s="202"/>
    </row>
    <row r="170" spans="5:7">
      <c r="E170" s="201" t="b">
        <v>0</v>
      </c>
      <c r="F170" s="201" t="b">
        <v>0</v>
      </c>
      <c r="G170" s="202"/>
    </row>
    <row r="171" spans="5:7">
      <c r="E171" s="201" t="b">
        <v>0</v>
      </c>
      <c r="F171" s="201" t="b">
        <v>0</v>
      </c>
      <c r="G171" s="202"/>
    </row>
    <row r="172" spans="5:7">
      <c r="E172" s="201" t="b">
        <v>0</v>
      </c>
      <c r="F172" s="201" t="b">
        <v>0</v>
      </c>
      <c r="G172" s="202"/>
    </row>
    <row r="173" spans="5:7">
      <c r="E173" s="201" t="b">
        <v>0</v>
      </c>
      <c r="F173" s="201" t="b">
        <v>0</v>
      </c>
      <c r="G173" s="202"/>
    </row>
    <row r="174" spans="5:7">
      <c r="E174" s="201" t="b">
        <v>0</v>
      </c>
      <c r="F174" s="201" t="b">
        <v>0</v>
      </c>
      <c r="G174" s="202"/>
    </row>
    <row r="175" spans="5:7">
      <c r="E175" s="201" t="b">
        <v>0</v>
      </c>
      <c r="F175" s="201" t="b">
        <v>0</v>
      </c>
      <c r="G175" s="202"/>
    </row>
    <row r="176" spans="5:7">
      <c r="E176" s="201" t="b">
        <v>0</v>
      </c>
      <c r="F176" s="201" t="b">
        <v>0</v>
      </c>
      <c r="G176" s="202"/>
    </row>
    <row r="177" spans="5:7">
      <c r="E177" s="201" t="b">
        <v>0</v>
      </c>
      <c r="F177" s="201" t="b">
        <v>0</v>
      </c>
      <c r="G177" s="202"/>
    </row>
    <row r="178" spans="5:7">
      <c r="E178" s="201" t="b">
        <v>0</v>
      </c>
      <c r="F178" s="201" t="b">
        <v>0</v>
      </c>
      <c r="G178" s="202"/>
    </row>
    <row r="179" spans="5:7">
      <c r="E179" s="201" t="b">
        <v>0</v>
      </c>
      <c r="F179" s="201" t="b">
        <v>0</v>
      </c>
      <c r="G179" s="202"/>
    </row>
    <row r="180" spans="5:7">
      <c r="E180" s="201" t="b">
        <v>0</v>
      </c>
      <c r="F180" s="201" t="b">
        <v>0</v>
      </c>
      <c r="G180" s="202"/>
    </row>
    <row r="181" spans="5:7">
      <c r="E181" s="201" t="b">
        <v>0</v>
      </c>
      <c r="F181" s="201" t="b">
        <v>0</v>
      </c>
      <c r="G181" s="202"/>
    </row>
    <row r="182" spans="5:7">
      <c r="E182" s="201" t="b">
        <v>0</v>
      </c>
      <c r="F182" s="201" t="b">
        <v>0</v>
      </c>
      <c r="G182" s="202"/>
    </row>
    <row r="183" spans="5:7">
      <c r="E183" s="201" t="b">
        <v>0</v>
      </c>
      <c r="F183" s="201" t="b">
        <v>0</v>
      </c>
      <c r="G183" s="202"/>
    </row>
    <row r="184" spans="5:7">
      <c r="E184" s="201" t="b">
        <v>0</v>
      </c>
      <c r="F184" s="201" t="b">
        <v>0</v>
      </c>
      <c r="G184" s="202"/>
    </row>
    <row r="185" spans="5:7">
      <c r="E185" s="201" t="b">
        <v>0</v>
      </c>
      <c r="F185" s="201" t="b">
        <v>0</v>
      </c>
      <c r="G185" s="202"/>
    </row>
    <row r="186" spans="5:7">
      <c r="E186" s="201" t="b">
        <v>0</v>
      </c>
      <c r="F186" s="201" t="b">
        <v>0</v>
      </c>
      <c r="G186" s="202"/>
    </row>
    <row r="187" spans="5:7">
      <c r="E187" s="201" t="b">
        <v>0</v>
      </c>
      <c r="F187" s="201" t="b">
        <v>0</v>
      </c>
      <c r="G187" s="202"/>
    </row>
    <row r="188" spans="5:7">
      <c r="E188" s="201" t="b">
        <v>0</v>
      </c>
      <c r="F188" s="201" t="b">
        <v>0</v>
      </c>
      <c r="G188" s="202"/>
    </row>
    <row r="189" spans="5:7">
      <c r="E189" s="201" t="b">
        <v>0</v>
      </c>
      <c r="F189" s="201" t="b">
        <v>0</v>
      </c>
      <c r="G189" s="202"/>
    </row>
    <row r="190" spans="5:7">
      <c r="E190" s="201" t="b">
        <v>0</v>
      </c>
      <c r="F190" s="201" t="b">
        <v>0</v>
      </c>
      <c r="G190" s="202"/>
    </row>
    <row r="191" spans="5:7">
      <c r="E191" s="201" t="b">
        <v>0</v>
      </c>
      <c r="F191" s="201" t="b">
        <v>0</v>
      </c>
      <c r="G191" s="202"/>
    </row>
    <row r="192" spans="5:7">
      <c r="E192" s="201" t="b">
        <v>0</v>
      </c>
      <c r="F192" s="201" t="b">
        <v>0</v>
      </c>
      <c r="G192" s="202"/>
    </row>
    <row r="193" spans="5:7">
      <c r="E193" s="201" t="b">
        <v>0</v>
      </c>
      <c r="F193" s="201" t="b">
        <v>0</v>
      </c>
      <c r="G193" s="202"/>
    </row>
    <row r="194" spans="5:7">
      <c r="E194" s="201" t="b">
        <v>0</v>
      </c>
      <c r="F194" s="201" t="b">
        <v>0</v>
      </c>
      <c r="G194" s="202"/>
    </row>
    <row r="195" spans="5:7">
      <c r="E195" s="201" t="b">
        <v>0</v>
      </c>
      <c r="F195" s="201" t="b">
        <v>0</v>
      </c>
      <c r="G195" s="202"/>
    </row>
    <row r="196" spans="5:7">
      <c r="E196" s="201" t="b">
        <v>0</v>
      </c>
      <c r="F196" s="201" t="b">
        <v>0</v>
      </c>
      <c r="G196" s="202"/>
    </row>
    <row r="197" spans="5:7">
      <c r="E197" s="201" t="b">
        <v>0</v>
      </c>
      <c r="F197" s="201" t="b">
        <v>0</v>
      </c>
      <c r="G197" s="202"/>
    </row>
    <row r="198" spans="5:7">
      <c r="E198" s="201" t="b">
        <v>0</v>
      </c>
      <c r="F198" s="201" t="b">
        <v>0</v>
      </c>
      <c r="G198" s="202"/>
    </row>
    <row r="199" spans="5:7">
      <c r="E199" s="201" t="b">
        <v>0</v>
      </c>
      <c r="F199" s="201" t="b">
        <v>0</v>
      </c>
      <c r="G199" s="202"/>
    </row>
    <row r="200" spans="5:7">
      <c r="E200" s="201" t="b">
        <v>0</v>
      </c>
      <c r="F200" s="201" t="b">
        <v>0</v>
      </c>
      <c r="G200" s="202"/>
    </row>
    <row r="201" spans="5:7">
      <c r="E201" s="201" t="b">
        <v>0</v>
      </c>
      <c r="F201" s="201" t="b">
        <v>0</v>
      </c>
      <c r="G201" s="20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7708C-3F96-465D-994C-E892D1D17A98}">
  <dimension ref="A1:J152"/>
  <sheetViews>
    <sheetView view="pageLayout" zoomScaleNormal="100" workbookViewId="0">
      <selection activeCell="I14" sqref="I14"/>
    </sheetView>
  </sheetViews>
  <sheetFormatPr defaultRowHeight="12.75"/>
  <sheetData>
    <row r="1" spans="1:10" ht="13.5" thickBot="1">
      <c r="A1" s="282"/>
      <c r="B1" s="282"/>
      <c r="C1" s="282"/>
      <c r="D1" s="282"/>
      <c r="E1" s="282"/>
      <c r="F1" s="282"/>
      <c r="G1" s="282"/>
      <c r="H1" s="282"/>
      <c r="I1" s="282"/>
      <c r="J1" s="282"/>
    </row>
    <row r="2" spans="1:10" ht="16.5" customHeight="1">
      <c r="A2" s="283" t="s">
        <v>238</v>
      </c>
      <c r="B2" s="284"/>
      <c r="C2" s="284"/>
      <c r="D2" s="284"/>
      <c r="E2" s="294"/>
      <c r="F2" s="283">
        <f>Estimate!C6</f>
        <v>0</v>
      </c>
      <c r="G2" s="284"/>
      <c r="H2" s="284"/>
      <c r="I2" s="284"/>
      <c r="J2" s="285"/>
    </row>
    <row r="3" spans="1:10" ht="17.25" customHeight="1">
      <c r="A3" s="276" t="s">
        <v>239</v>
      </c>
      <c r="B3" s="277"/>
      <c r="C3" s="277"/>
      <c r="D3" s="277"/>
      <c r="E3" s="278"/>
      <c r="F3" s="295">
        <f>Estimate!C4</f>
        <v>0</v>
      </c>
      <c r="G3" s="296"/>
      <c r="H3" s="278">
        <f>Estimate!C5</f>
        <v>0</v>
      </c>
      <c r="I3" s="297"/>
      <c r="J3" s="298"/>
    </row>
    <row r="4" spans="1:10" ht="16.5" customHeight="1">
      <c r="A4" s="276" t="s">
        <v>240</v>
      </c>
      <c r="B4" s="277"/>
      <c r="C4" s="277"/>
      <c r="D4" s="277"/>
      <c r="E4" s="278"/>
      <c r="F4" s="286">
        <f>Estimate!C3</f>
        <v>0</v>
      </c>
      <c r="G4" s="287"/>
      <c r="H4" s="287"/>
      <c r="I4" s="287"/>
      <c r="J4" s="288"/>
    </row>
    <row r="5" spans="1:10" ht="17.25" customHeight="1">
      <c r="A5" s="276" t="s">
        <v>241</v>
      </c>
      <c r="B5" s="277"/>
      <c r="C5" s="277"/>
      <c r="D5" s="277"/>
      <c r="E5" s="278"/>
      <c r="F5" s="295" t="str">
        <f>IF(Estimate!G155&gt;0, Estimate!B155, "N/A")</f>
        <v>N/A</v>
      </c>
      <c r="G5" s="297"/>
      <c r="H5" s="203"/>
      <c r="I5" s="203"/>
      <c r="J5" s="204"/>
    </row>
    <row r="6" spans="1:10" ht="16.5" customHeight="1">
      <c r="A6" s="276" t="s">
        <v>242</v>
      </c>
      <c r="B6" s="277"/>
      <c r="C6" s="277"/>
      <c r="D6" s="277"/>
      <c r="E6" s="278"/>
      <c r="F6" s="289"/>
      <c r="G6" s="290"/>
      <c r="H6" s="290"/>
      <c r="I6" s="290"/>
      <c r="J6" s="291"/>
    </row>
    <row r="7" spans="1:10" ht="17.25" customHeight="1">
      <c r="A7" s="276" t="s">
        <v>243</v>
      </c>
      <c r="B7" s="277"/>
      <c r="C7" s="277"/>
      <c r="D7" s="277"/>
      <c r="E7" s="278"/>
      <c r="F7" s="276"/>
      <c r="G7" s="277"/>
      <c r="H7" s="277"/>
      <c r="I7" s="277"/>
      <c r="J7" s="292"/>
    </row>
    <row r="8" spans="1:10" ht="16.5" customHeight="1" thickBot="1">
      <c r="A8" s="279" t="s">
        <v>244</v>
      </c>
      <c r="B8" s="280"/>
      <c r="C8" s="280"/>
      <c r="D8" s="280"/>
      <c r="E8" s="281"/>
      <c r="F8" s="279"/>
      <c r="G8" s="280"/>
      <c r="H8" s="280"/>
      <c r="I8" s="280"/>
      <c r="J8" s="293"/>
    </row>
    <row r="9" spans="1:10">
      <c r="A9" s="205"/>
      <c r="B9" s="205"/>
      <c r="C9" s="205"/>
      <c r="D9" s="205"/>
      <c r="E9" s="205"/>
      <c r="F9" s="205"/>
      <c r="G9" s="205"/>
      <c r="H9" s="205"/>
      <c r="I9" s="205"/>
      <c r="J9" s="205"/>
    </row>
    <row r="10" spans="1:10">
      <c r="A10" s="299" t="s">
        <v>245</v>
      </c>
      <c r="B10" s="299"/>
      <c r="C10" s="299"/>
      <c r="D10" s="299"/>
      <c r="E10" s="299"/>
      <c r="F10" s="299"/>
      <c r="G10" s="299"/>
      <c r="H10" s="299"/>
      <c r="I10" s="299"/>
      <c r="J10" s="299"/>
    </row>
    <row r="11" spans="1:10">
      <c r="A11" s="299"/>
      <c r="B11" s="299"/>
      <c r="C11" s="299"/>
      <c r="D11" s="299"/>
      <c r="E11" s="299"/>
      <c r="F11" s="299"/>
      <c r="G11" s="299"/>
      <c r="H11" s="299"/>
      <c r="I11" s="299"/>
      <c r="J11" s="299"/>
    </row>
    <row r="12" spans="1:10">
      <c r="A12" s="299"/>
      <c r="B12" s="299"/>
      <c r="C12" s="299"/>
      <c r="D12" s="299"/>
      <c r="E12" s="299"/>
      <c r="F12" s="299"/>
      <c r="G12" s="299"/>
      <c r="H12" s="299"/>
      <c r="I12" s="299"/>
      <c r="J12" s="299"/>
    </row>
    <row r="13" spans="1:10">
      <c r="A13" s="299"/>
      <c r="B13" s="299"/>
      <c r="C13" s="299"/>
      <c r="D13" s="299"/>
      <c r="E13" s="299"/>
      <c r="F13" s="299"/>
      <c r="G13" s="299"/>
      <c r="H13" s="299"/>
      <c r="I13" s="299"/>
      <c r="J13" s="299"/>
    </row>
    <row r="14" spans="1:10">
      <c r="A14" s="205"/>
      <c r="B14" s="205"/>
      <c r="C14" s="205"/>
      <c r="D14" s="205"/>
      <c r="E14" s="205"/>
      <c r="F14" s="205"/>
      <c r="G14" s="205"/>
      <c r="H14" s="205"/>
      <c r="I14" s="205"/>
      <c r="J14" s="205"/>
    </row>
    <row r="15" spans="1:10" ht="15">
      <c r="A15" s="300" t="s">
        <v>246</v>
      </c>
      <c r="B15" s="301"/>
      <c r="C15" s="301"/>
      <c r="D15" s="301"/>
      <c r="E15" s="301"/>
      <c r="F15" s="301"/>
      <c r="G15" s="301"/>
      <c r="H15" s="301"/>
      <c r="I15" s="301"/>
      <c r="J15" s="301"/>
    </row>
    <row r="16" spans="1:10">
      <c r="A16" s="205"/>
      <c r="B16" s="205"/>
      <c r="C16" s="205"/>
      <c r="D16" s="205"/>
      <c r="E16" s="205"/>
      <c r="F16" s="205"/>
      <c r="G16" s="205"/>
      <c r="H16" s="205"/>
      <c r="I16" s="205"/>
      <c r="J16" s="205"/>
    </row>
    <row r="17" spans="1:10">
      <c r="A17" s="299" t="s">
        <v>247</v>
      </c>
      <c r="B17" s="299"/>
      <c r="C17" s="299"/>
      <c r="D17" s="299"/>
      <c r="E17" s="299"/>
      <c r="F17" s="299"/>
      <c r="G17" s="299"/>
      <c r="H17" s="299"/>
      <c r="I17" s="299"/>
      <c r="J17" s="299"/>
    </row>
    <row r="18" spans="1:10">
      <c r="A18" s="299"/>
      <c r="B18" s="299"/>
      <c r="C18" s="299"/>
      <c r="D18" s="299"/>
      <c r="E18" s="299"/>
      <c r="F18" s="299"/>
      <c r="G18" s="299"/>
      <c r="H18" s="299"/>
      <c r="I18" s="299"/>
      <c r="J18" s="299"/>
    </row>
    <row r="19" spans="1:10">
      <c r="A19" s="299"/>
      <c r="B19" s="299"/>
      <c r="C19" s="299"/>
      <c r="D19" s="299"/>
      <c r="E19" s="299"/>
      <c r="F19" s="299"/>
      <c r="G19" s="299"/>
      <c r="H19" s="299"/>
      <c r="I19" s="299"/>
      <c r="J19" s="299"/>
    </row>
    <row r="20" spans="1:10">
      <c r="A20" s="299"/>
      <c r="B20" s="299"/>
      <c r="C20" s="299"/>
      <c r="D20" s="299"/>
      <c r="E20" s="299"/>
      <c r="F20" s="299"/>
      <c r="G20" s="299"/>
      <c r="H20" s="299"/>
      <c r="I20" s="299"/>
      <c r="J20" s="299"/>
    </row>
    <row r="21" spans="1:10">
      <c r="A21" s="299"/>
      <c r="B21" s="299"/>
      <c r="C21" s="299"/>
      <c r="D21" s="299"/>
      <c r="E21" s="299"/>
      <c r="F21" s="299"/>
      <c r="G21" s="299"/>
      <c r="H21" s="299"/>
      <c r="I21" s="299"/>
      <c r="J21" s="299"/>
    </row>
    <row r="22" spans="1:10">
      <c r="A22" s="299"/>
      <c r="B22" s="299"/>
      <c r="C22" s="299"/>
      <c r="D22" s="299"/>
      <c r="E22" s="299"/>
      <c r="F22" s="299"/>
      <c r="G22" s="299"/>
      <c r="H22" s="299"/>
      <c r="I22" s="299"/>
      <c r="J22" s="299"/>
    </row>
    <row r="23" spans="1:10">
      <c r="A23" s="299"/>
      <c r="B23" s="299"/>
      <c r="C23" s="299"/>
      <c r="D23" s="299"/>
      <c r="E23" s="299"/>
      <c r="F23" s="299"/>
      <c r="G23" s="299"/>
      <c r="H23" s="299"/>
      <c r="I23" s="299"/>
      <c r="J23" s="299"/>
    </row>
    <row r="24" spans="1:10">
      <c r="A24" s="299"/>
      <c r="B24" s="299"/>
      <c r="C24" s="299"/>
      <c r="D24" s="299"/>
      <c r="E24" s="299"/>
      <c r="F24" s="299"/>
      <c r="G24" s="299"/>
      <c r="H24" s="299"/>
      <c r="I24" s="299"/>
      <c r="J24" s="299"/>
    </row>
    <row r="25" spans="1:10">
      <c r="A25" s="299"/>
      <c r="B25" s="299"/>
      <c r="C25" s="299"/>
      <c r="D25" s="299"/>
      <c r="E25" s="299"/>
      <c r="F25" s="299"/>
      <c r="G25" s="299"/>
      <c r="H25" s="299"/>
      <c r="I25" s="299"/>
      <c r="J25" s="299"/>
    </row>
    <row r="26" spans="1:10">
      <c r="A26" s="299"/>
      <c r="B26" s="299"/>
      <c r="C26" s="299"/>
      <c r="D26" s="299"/>
      <c r="E26" s="299"/>
      <c r="F26" s="299"/>
      <c r="G26" s="299"/>
      <c r="H26" s="299"/>
      <c r="I26" s="299"/>
      <c r="J26" s="299"/>
    </row>
    <row r="27" spans="1:10">
      <c r="A27" s="299"/>
      <c r="B27" s="299"/>
      <c r="C27" s="299"/>
      <c r="D27" s="299"/>
      <c r="E27" s="299"/>
      <c r="F27" s="299"/>
      <c r="G27" s="299"/>
      <c r="H27" s="299"/>
      <c r="I27" s="299"/>
      <c r="J27" s="299"/>
    </row>
    <row r="28" spans="1:10">
      <c r="A28" s="205"/>
      <c r="B28" s="205"/>
      <c r="C28" s="205"/>
      <c r="D28" s="205"/>
      <c r="E28" s="205"/>
      <c r="F28" s="205"/>
      <c r="G28" s="205"/>
      <c r="H28" s="205"/>
      <c r="I28" s="205"/>
      <c r="J28" s="205"/>
    </row>
    <row r="29" spans="1:10">
      <c r="A29" s="299" t="s">
        <v>248</v>
      </c>
      <c r="B29" s="299"/>
      <c r="C29" s="299"/>
      <c r="D29" s="299"/>
      <c r="E29" s="299"/>
      <c r="F29" s="299"/>
      <c r="G29" s="299"/>
      <c r="H29" s="299"/>
      <c r="I29" s="299"/>
      <c r="J29" s="299"/>
    </row>
    <row r="30" spans="1:10">
      <c r="A30" s="299"/>
      <c r="B30" s="299"/>
      <c r="C30" s="299"/>
      <c r="D30" s="299"/>
      <c r="E30" s="299"/>
      <c r="F30" s="299"/>
      <c r="G30" s="299"/>
      <c r="H30" s="299"/>
      <c r="I30" s="299"/>
      <c r="J30" s="299"/>
    </row>
    <row r="31" spans="1:10">
      <c r="A31" s="205"/>
      <c r="B31" s="205"/>
      <c r="C31" s="205"/>
      <c r="D31" s="205"/>
      <c r="E31" s="205"/>
      <c r="F31" s="205"/>
      <c r="G31" s="205"/>
      <c r="H31" s="205"/>
      <c r="I31" s="205"/>
      <c r="J31" s="205"/>
    </row>
    <row r="32" spans="1:10">
      <c r="A32" s="299" t="s">
        <v>249</v>
      </c>
      <c r="B32" s="299"/>
      <c r="C32" s="299"/>
      <c r="D32" s="299"/>
      <c r="E32" s="299"/>
      <c r="F32" s="299"/>
      <c r="G32" s="299"/>
      <c r="H32" s="299"/>
      <c r="I32" s="299"/>
      <c r="J32" s="299"/>
    </row>
    <row r="33" spans="1:10">
      <c r="A33" s="299"/>
      <c r="B33" s="299"/>
      <c r="C33" s="299"/>
      <c r="D33" s="299"/>
      <c r="E33" s="299"/>
      <c r="F33" s="299"/>
      <c r="G33" s="299"/>
      <c r="H33" s="299"/>
      <c r="I33" s="299"/>
      <c r="J33" s="299"/>
    </row>
    <row r="34" spans="1:10">
      <c r="A34" s="205"/>
      <c r="B34" s="205"/>
      <c r="C34" s="205"/>
      <c r="D34" s="205"/>
      <c r="E34" s="205"/>
      <c r="F34" s="205"/>
      <c r="G34" s="205"/>
      <c r="H34" s="205"/>
      <c r="I34" s="205"/>
      <c r="J34" s="205"/>
    </row>
    <row r="35" spans="1:10">
      <c r="A35" s="299" t="s">
        <v>250</v>
      </c>
      <c r="B35" s="299"/>
      <c r="C35" s="299"/>
      <c r="D35" s="299"/>
      <c r="E35" s="299"/>
      <c r="F35" s="299"/>
      <c r="G35" s="299"/>
      <c r="H35" s="299"/>
      <c r="I35" s="299"/>
      <c r="J35" s="299"/>
    </row>
    <row r="36" spans="1:10">
      <c r="A36" s="299"/>
      <c r="B36" s="299"/>
      <c r="C36" s="299"/>
      <c r="D36" s="299"/>
      <c r="E36" s="299"/>
      <c r="F36" s="299"/>
      <c r="G36" s="299"/>
      <c r="H36" s="299"/>
      <c r="I36" s="299"/>
      <c r="J36" s="299"/>
    </row>
    <row r="37" spans="1:10">
      <c r="A37" s="299"/>
      <c r="B37" s="299"/>
      <c r="C37" s="299"/>
      <c r="D37" s="299"/>
      <c r="E37" s="299"/>
      <c r="F37" s="299"/>
      <c r="G37" s="299"/>
      <c r="H37" s="299"/>
      <c r="I37" s="299"/>
      <c r="J37" s="299"/>
    </row>
    <row r="38" spans="1:10">
      <c r="A38" s="205"/>
      <c r="B38" s="205"/>
      <c r="C38" s="205"/>
      <c r="D38" s="205"/>
      <c r="E38" s="205"/>
      <c r="F38" s="205"/>
      <c r="G38" s="205"/>
      <c r="H38" s="205"/>
      <c r="I38" s="205"/>
      <c r="J38" s="205"/>
    </row>
    <row r="39" spans="1:10">
      <c r="A39" s="299" t="s">
        <v>251</v>
      </c>
      <c r="B39" s="299"/>
      <c r="C39" s="299"/>
      <c r="D39" s="299"/>
      <c r="E39" s="299"/>
      <c r="F39" s="299"/>
      <c r="G39" s="299"/>
      <c r="H39" s="299"/>
      <c r="I39" s="299"/>
      <c r="J39" s="299"/>
    </row>
    <row r="40" spans="1:10">
      <c r="A40" s="299"/>
      <c r="B40" s="299"/>
      <c r="C40" s="299"/>
      <c r="D40" s="299"/>
      <c r="E40" s="299"/>
      <c r="F40" s="299"/>
      <c r="G40" s="299"/>
      <c r="H40" s="299"/>
      <c r="I40" s="299"/>
      <c r="J40" s="299"/>
    </row>
    <row r="41" spans="1:10">
      <c r="A41" s="299"/>
      <c r="B41" s="299"/>
      <c r="C41" s="299"/>
      <c r="D41" s="299"/>
      <c r="E41" s="299"/>
      <c r="F41" s="299"/>
      <c r="G41" s="299"/>
      <c r="H41" s="299"/>
      <c r="I41" s="299"/>
      <c r="J41" s="299"/>
    </row>
    <row r="42" spans="1:10">
      <c r="A42" s="299"/>
      <c r="B42" s="299"/>
      <c r="C42" s="299"/>
      <c r="D42" s="299"/>
      <c r="E42" s="299"/>
      <c r="F42" s="299"/>
      <c r="G42" s="299"/>
      <c r="H42" s="299"/>
      <c r="I42" s="299"/>
      <c r="J42" s="299"/>
    </row>
    <row r="43" spans="1:10">
      <c r="A43" s="299"/>
      <c r="B43" s="299"/>
      <c r="C43" s="299"/>
      <c r="D43" s="299"/>
      <c r="E43" s="299"/>
      <c r="F43" s="299"/>
      <c r="G43" s="299"/>
      <c r="H43" s="299"/>
      <c r="I43" s="299"/>
      <c r="J43" s="299"/>
    </row>
    <row r="44" spans="1:10">
      <c r="A44" s="299"/>
      <c r="B44" s="299"/>
      <c r="C44" s="299"/>
      <c r="D44" s="299"/>
      <c r="E44" s="299"/>
      <c r="F44" s="299"/>
      <c r="G44" s="299"/>
      <c r="H44" s="299"/>
      <c r="I44" s="299"/>
      <c r="J44" s="299"/>
    </row>
    <row r="45" spans="1:10">
      <c r="A45" s="205"/>
      <c r="B45" s="205"/>
      <c r="C45" s="205"/>
      <c r="D45" s="205"/>
      <c r="E45" s="205"/>
      <c r="F45" s="205"/>
      <c r="G45" s="205"/>
      <c r="H45" s="205"/>
      <c r="I45" s="205"/>
      <c r="J45" s="205"/>
    </row>
    <row r="46" spans="1:10">
      <c r="A46" s="299" t="s">
        <v>252</v>
      </c>
      <c r="B46" s="299"/>
      <c r="C46" s="299"/>
      <c r="D46" s="299"/>
      <c r="E46" s="299"/>
      <c r="F46" s="299"/>
      <c r="G46" s="299"/>
      <c r="H46" s="299"/>
      <c r="I46" s="299"/>
      <c r="J46" s="299"/>
    </row>
    <row r="47" spans="1:10">
      <c r="A47" s="299"/>
      <c r="B47" s="299"/>
      <c r="C47" s="299"/>
      <c r="D47" s="299"/>
      <c r="E47" s="299"/>
      <c r="F47" s="299"/>
      <c r="G47" s="299"/>
      <c r="H47" s="299"/>
      <c r="I47" s="299"/>
      <c r="J47" s="299"/>
    </row>
    <row r="48" spans="1:10">
      <c r="A48" s="299"/>
      <c r="B48" s="299"/>
      <c r="C48" s="299"/>
      <c r="D48" s="299"/>
      <c r="E48" s="299"/>
      <c r="F48" s="299"/>
      <c r="G48" s="299"/>
      <c r="H48" s="299"/>
      <c r="I48" s="299"/>
      <c r="J48" s="299"/>
    </row>
    <row r="49" spans="1:10">
      <c r="A49" s="299"/>
      <c r="B49" s="299"/>
      <c r="C49" s="299"/>
      <c r="D49" s="299"/>
      <c r="E49" s="299"/>
      <c r="F49" s="299"/>
      <c r="G49" s="299"/>
      <c r="H49" s="299"/>
      <c r="I49" s="299"/>
      <c r="J49" s="299"/>
    </row>
    <row r="50" spans="1:10">
      <c r="A50" s="299"/>
      <c r="B50" s="299"/>
      <c r="C50" s="299"/>
      <c r="D50" s="299"/>
      <c r="E50" s="299"/>
      <c r="F50" s="299"/>
      <c r="G50" s="299"/>
      <c r="H50" s="299"/>
      <c r="I50" s="299"/>
      <c r="J50" s="299"/>
    </row>
    <row r="51" spans="1:10">
      <c r="A51" s="205"/>
      <c r="B51" s="205"/>
      <c r="C51" s="205"/>
      <c r="D51" s="205"/>
      <c r="E51" s="205"/>
      <c r="F51" s="205"/>
      <c r="G51" s="205"/>
      <c r="H51" s="205"/>
      <c r="I51" s="205"/>
      <c r="J51" s="205"/>
    </row>
    <row r="52" spans="1:10">
      <c r="A52" s="299" t="s">
        <v>253</v>
      </c>
      <c r="B52" s="299"/>
      <c r="C52" s="299"/>
      <c r="D52" s="299"/>
      <c r="E52" s="299"/>
      <c r="F52" s="299"/>
      <c r="G52" s="299"/>
      <c r="H52" s="299"/>
      <c r="I52" s="299"/>
      <c r="J52" s="299"/>
    </row>
    <row r="53" spans="1:10">
      <c r="A53" s="299"/>
      <c r="B53" s="299"/>
      <c r="C53" s="299"/>
      <c r="D53" s="299"/>
      <c r="E53" s="299"/>
      <c r="F53" s="299"/>
      <c r="G53" s="299"/>
      <c r="H53" s="299"/>
      <c r="I53" s="299"/>
      <c r="J53" s="299"/>
    </row>
    <row r="54" spans="1:10">
      <c r="A54" s="205"/>
      <c r="B54" s="205"/>
      <c r="C54" s="205"/>
      <c r="D54" s="205"/>
      <c r="E54" s="205"/>
      <c r="F54" s="205"/>
      <c r="G54" s="205"/>
      <c r="H54" s="205"/>
      <c r="I54" s="205"/>
      <c r="J54" s="205"/>
    </row>
    <row r="55" spans="1:10">
      <c r="A55" s="299" t="s">
        <v>254</v>
      </c>
      <c r="B55" s="299"/>
      <c r="C55" s="299"/>
      <c r="D55" s="299"/>
      <c r="E55" s="299"/>
      <c r="F55" s="299"/>
      <c r="G55" s="299"/>
      <c r="H55" s="299"/>
      <c r="I55" s="299"/>
      <c r="J55" s="299"/>
    </row>
    <row r="56" spans="1:10">
      <c r="A56" s="299"/>
      <c r="B56" s="299"/>
      <c r="C56" s="299"/>
      <c r="D56" s="299"/>
      <c r="E56" s="299"/>
      <c r="F56" s="299"/>
      <c r="G56" s="299"/>
      <c r="H56" s="299"/>
      <c r="I56" s="299"/>
      <c r="J56" s="299"/>
    </row>
    <row r="57" spans="1:10">
      <c r="A57" s="205"/>
      <c r="B57" s="205"/>
      <c r="C57" s="205"/>
      <c r="D57" s="205"/>
      <c r="E57" s="205"/>
      <c r="F57" s="205"/>
      <c r="G57" s="205"/>
      <c r="H57" s="205"/>
      <c r="I57" s="205"/>
      <c r="J57" s="205"/>
    </row>
    <row r="58" spans="1:10" ht="15">
      <c r="A58" s="303" t="s">
        <v>255</v>
      </c>
      <c r="B58" s="303"/>
      <c r="C58" s="303"/>
      <c r="D58" s="303" t="s">
        <v>256</v>
      </c>
      <c r="E58" s="303"/>
      <c r="F58" s="303"/>
      <c r="G58" s="303" t="s">
        <v>257</v>
      </c>
      <c r="H58" s="303"/>
      <c r="I58" s="303"/>
      <c r="J58" s="303"/>
    </row>
    <row r="59" spans="1:10" ht="12.75" customHeight="1">
      <c r="A59" s="302" t="s">
        <v>258</v>
      </c>
      <c r="B59" s="302"/>
      <c r="C59" s="302"/>
      <c r="D59" s="302" t="s">
        <v>259</v>
      </c>
      <c r="E59" s="302"/>
      <c r="F59" s="302"/>
      <c r="G59" s="302" t="s">
        <v>260</v>
      </c>
      <c r="H59" s="302"/>
      <c r="I59" s="302"/>
      <c r="J59" s="302"/>
    </row>
    <row r="60" spans="1:10">
      <c r="A60" s="302"/>
      <c r="B60" s="302"/>
      <c r="C60" s="302"/>
      <c r="D60" s="302"/>
      <c r="E60" s="302"/>
      <c r="F60" s="302"/>
      <c r="G60" s="302"/>
      <c r="H60" s="302"/>
      <c r="I60" s="302"/>
      <c r="J60" s="302"/>
    </row>
    <row r="61" spans="1:10">
      <c r="A61" s="302"/>
      <c r="B61" s="302"/>
      <c r="C61" s="302"/>
      <c r="D61" s="302"/>
      <c r="E61" s="302"/>
      <c r="F61" s="302"/>
      <c r="G61" s="302"/>
      <c r="H61" s="302"/>
      <c r="I61" s="302"/>
      <c r="J61" s="302"/>
    </row>
    <row r="62" spans="1:10">
      <c r="A62" s="302"/>
      <c r="B62" s="302"/>
      <c r="C62" s="302"/>
      <c r="D62" s="302"/>
      <c r="E62" s="302"/>
      <c r="F62" s="302"/>
      <c r="G62" s="302"/>
      <c r="H62" s="302"/>
      <c r="I62" s="302"/>
      <c r="J62" s="302"/>
    </row>
    <row r="63" spans="1:10" ht="12.75" customHeight="1">
      <c r="A63" s="302" t="s">
        <v>261</v>
      </c>
      <c r="B63" s="302"/>
      <c r="C63" s="302"/>
      <c r="D63" s="302" t="s">
        <v>262</v>
      </c>
      <c r="E63" s="302"/>
      <c r="F63" s="302"/>
      <c r="G63" s="302" t="s">
        <v>263</v>
      </c>
      <c r="H63" s="302"/>
      <c r="I63" s="302"/>
      <c r="J63" s="302"/>
    </row>
    <row r="64" spans="1:10">
      <c r="A64" s="302"/>
      <c r="B64" s="302"/>
      <c r="C64" s="302"/>
      <c r="D64" s="302"/>
      <c r="E64" s="302"/>
      <c r="F64" s="302"/>
      <c r="G64" s="302"/>
      <c r="H64" s="302"/>
      <c r="I64" s="302"/>
      <c r="J64" s="302"/>
    </row>
    <row r="65" spans="1:10" ht="12.75" customHeight="1">
      <c r="A65" s="302" t="s">
        <v>264</v>
      </c>
      <c r="B65" s="302"/>
      <c r="C65" s="302"/>
      <c r="D65" s="302" t="s">
        <v>265</v>
      </c>
      <c r="E65" s="302"/>
      <c r="F65" s="302"/>
      <c r="G65" s="302" t="s">
        <v>266</v>
      </c>
      <c r="H65" s="302"/>
      <c r="I65" s="302"/>
      <c r="J65" s="302"/>
    </row>
    <row r="66" spans="1:10">
      <c r="A66" s="302"/>
      <c r="B66" s="302"/>
      <c r="C66" s="302"/>
      <c r="D66" s="302"/>
      <c r="E66" s="302"/>
      <c r="F66" s="302"/>
      <c r="G66" s="302"/>
      <c r="H66" s="302"/>
      <c r="I66" s="302"/>
      <c r="J66" s="302"/>
    </row>
    <row r="67" spans="1:10">
      <c r="A67" s="205"/>
      <c r="B67" s="205"/>
      <c r="C67" s="205"/>
      <c r="D67" s="205"/>
      <c r="E67" s="205"/>
      <c r="F67" s="205"/>
      <c r="G67" s="205"/>
      <c r="H67" s="205"/>
      <c r="I67" s="205"/>
      <c r="J67" s="205"/>
    </row>
    <row r="68" spans="1:10">
      <c r="A68" s="320" t="s">
        <v>267</v>
      </c>
      <c r="B68" s="299"/>
      <c r="C68" s="299"/>
      <c r="D68" s="299"/>
      <c r="E68" s="299"/>
      <c r="F68" s="299"/>
      <c r="G68" s="299"/>
      <c r="H68" s="299"/>
      <c r="I68" s="299"/>
      <c r="J68" s="299"/>
    </row>
    <row r="69" spans="1:10">
      <c r="A69" s="299"/>
      <c r="B69" s="299"/>
      <c r="C69" s="299"/>
      <c r="D69" s="299"/>
      <c r="E69" s="299"/>
      <c r="F69" s="299"/>
      <c r="G69" s="299"/>
      <c r="H69" s="299"/>
      <c r="I69" s="299"/>
      <c r="J69" s="299"/>
    </row>
    <row r="70" spans="1:10">
      <c r="A70" s="299"/>
      <c r="B70" s="299"/>
      <c r="C70" s="299"/>
      <c r="D70" s="299"/>
      <c r="E70" s="299"/>
      <c r="F70" s="299"/>
      <c r="G70" s="299"/>
      <c r="H70" s="299"/>
      <c r="I70" s="299"/>
      <c r="J70" s="299"/>
    </row>
    <row r="71" spans="1:10">
      <c r="A71" s="299"/>
      <c r="B71" s="299"/>
      <c r="C71" s="299"/>
      <c r="D71" s="299"/>
      <c r="E71" s="299"/>
      <c r="F71" s="299"/>
      <c r="G71" s="299"/>
      <c r="H71" s="299"/>
      <c r="I71" s="299"/>
      <c r="J71" s="299"/>
    </row>
    <row r="72" spans="1:10">
      <c r="A72" s="205"/>
      <c r="B72" s="205"/>
      <c r="C72" s="205"/>
      <c r="D72" s="205"/>
      <c r="E72" s="205"/>
      <c r="F72" s="205"/>
      <c r="G72" s="205"/>
      <c r="H72" s="205"/>
      <c r="I72" s="205"/>
      <c r="J72" s="205"/>
    </row>
    <row r="73" spans="1:10" ht="15">
      <c r="A73" s="321" t="s">
        <v>268</v>
      </c>
      <c r="B73" s="322"/>
      <c r="C73" s="322"/>
      <c r="D73" s="322"/>
      <c r="E73" s="205"/>
      <c r="F73" s="205"/>
      <c r="G73" s="323" t="s">
        <v>269</v>
      </c>
      <c r="H73" s="324"/>
      <c r="I73" s="324"/>
      <c r="J73" s="324"/>
    </row>
    <row r="74" spans="1:10">
      <c r="A74" s="319" t="s">
        <v>270</v>
      </c>
      <c r="B74" s="319"/>
      <c r="C74" s="319"/>
      <c r="D74" s="319"/>
      <c r="E74" s="205"/>
      <c r="F74" s="205"/>
      <c r="G74" s="319" t="s">
        <v>270</v>
      </c>
      <c r="H74" s="319"/>
      <c r="I74" s="319"/>
      <c r="J74" s="319"/>
    </row>
    <row r="75" spans="1:10">
      <c r="A75" s="319" t="s">
        <v>271</v>
      </c>
      <c r="B75" s="319"/>
      <c r="C75" s="319"/>
      <c r="D75" s="319"/>
      <c r="E75" s="205"/>
      <c r="F75" s="205"/>
      <c r="G75" s="319" t="s">
        <v>271</v>
      </c>
      <c r="H75" s="319"/>
      <c r="I75" s="319"/>
      <c r="J75" s="319"/>
    </row>
    <row r="76" spans="1:10">
      <c r="A76" s="319" t="s">
        <v>272</v>
      </c>
      <c r="B76" s="319"/>
      <c r="C76" s="319"/>
      <c r="D76" s="319"/>
      <c r="E76" s="205"/>
      <c r="F76" s="205"/>
      <c r="G76" s="319" t="s">
        <v>272</v>
      </c>
      <c r="H76" s="319"/>
      <c r="I76" s="319"/>
      <c r="J76" s="319"/>
    </row>
    <row r="77" spans="1:10">
      <c r="A77" s="205"/>
      <c r="B77" s="205"/>
      <c r="C77" s="205"/>
      <c r="D77" s="205"/>
      <c r="E77" s="205"/>
      <c r="F77" s="205"/>
      <c r="G77" s="205"/>
      <c r="H77" s="205"/>
      <c r="I77" s="205"/>
      <c r="J77" s="205"/>
    </row>
    <row r="78" spans="1:10" ht="12.75" customHeight="1">
      <c r="A78" s="206"/>
      <c r="B78" s="206"/>
      <c r="C78" s="206"/>
      <c r="D78" s="206"/>
      <c r="E78" s="206"/>
      <c r="F78" s="206"/>
      <c r="G78" s="205"/>
      <c r="H78" s="205"/>
      <c r="I78" s="205"/>
      <c r="J78" s="205"/>
    </row>
    <row r="79" spans="1:10">
      <c r="A79" s="206"/>
      <c r="B79" s="206"/>
      <c r="C79" s="206"/>
      <c r="D79" s="206"/>
      <c r="E79" s="206"/>
      <c r="F79" s="206"/>
      <c r="G79" s="205"/>
      <c r="H79" s="205"/>
      <c r="I79" s="205"/>
      <c r="J79" s="205"/>
    </row>
    <row r="80" spans="1:10">
      <c r="A80" s="206"/>
      <c r="B80" s="206"/>
      <c r="C80" s="206"/>
      <c r="D80" s="206"/>
      <c r="E80" s="206"/>
      <c r="F80" s="206"/>
      <c r="G80" s="205"/>
      <c r="H80" s="205"/>
      <c r="I80" s="205"/>
      <c r="J80" s="205"/>
    </row>
    <row r="81" spans="1:10">
      <c r="A81" s="206"/>
      <c r="B81" s="206"/>
      <c r="C81" s="206"/>
      <c r="D81" s="206"/>
      <c r="E81" s="206"/>
      <c r="F81" s="206"/>
      <c r="G81" s="205"/>
      <c r="H81" s="205"/>
      <c r="I81" s="205"/>
      <c r="J81" s="205"/>
    </row>
    <row r="82" spans="1:10">
      <c r="A82" s="206"/>
      <c r="B82" s="206"/>
      <c r="C82" s="206"/>
      <c r="D82" s="206"/>
      <c r="E82" s="206"/>
      <c r="F82" s="206"/>
      <c r="G82" s="205"/>
      <c r="H82" s="205"/>
      <c r="I82" s="205"/>
      <c r="J82" s="205"/>
    </row>
    <row r="83" spans="1:10">
      <c r="A83" s="206"/>
      <c r="B83" s="206"/>
      <c r="C83" s="206"/>
      <c r="D83" s="206"/>
      <c r="E83" s="206"/>
      <c r="F83" s="206"/>
      <c r="G83" s="205"/>
      <c r="H83" s="205"/>
      <c r="I83" s="205"/>
      <c r="J83" s="205"/>
    </row>
    <row r="84" spans="1:10">
      <c r="A84" s="206"/>
      <c r="B84" s="206"/>
      <c r="C84" s="206"/>
      <c r="D84" s="206"/>
      <c r="E84" s="206"/>
      <c r="F84" s="206"/>
      <c r="G84" s="205"/>
      <c r="H84" s="205"/>
      <c r="I84" s="205"/>
      <c r="J84" s="205"/>
    </row>
    <row r="85" spans="1:10">
      <c r="A85" s="206"/>
      <c r="B85" s="206"/>
      <c r="C85" s="206"/>
      <c r="D85" s="206"/>
      <c r="E85" s="206"/>
      <c r="F85" s="206"/>
      <c r="G85" s="205"/>
      <c r="H85" s="205"/>
      <c r="I85" s="205"/>
      <c r="J85" s="205"/>
    </row>
    <row r="86" spans="1:10">
      <c r="A86" s="206"/>
      <c r="B86" s="206"/>
      <c r="C86" s="206"/>
      <c r="D86" s="206"/>
      <c r="E86" s="206"/>
      <c r="F86" s="206"/>
      <c r="G86" s="205"/>
      <c r="H86" s="205"/>
      <c r="I86" s="205"/>
      <c r="J86" s="205"/>
    </row>
    <row r="87" spans="1:10">
      <c r="A87" s="206"/>
      <c r="B87" s="206"/>
      <c r="C87" s="206"/>
      <c r="D87" s="206"/>
      <c r="E87" s="206"/>
      <c r="F87" s="206"/>
      <c r="G87" s="205"/>
      <c r="H87" s="205"/>
      <c r="I87" s="205"/>
      <c r="J87" s="205"/>
    </row>
    <row r="88" spans="1:10">
      <c r="A88" s="206"/>
      <c r="B88" s="206"/>
      <c r="C88" s="206"/>
      <c r="D88" s="206"/>
      <c r="E88" s="206"/>
      <c r="F88" s="206"/>
      <c r="G88" s="205"/>
      <c r="H88" s="205"/>
      <c r="I88" s="205"/>
      <c r="J88" s="205"/>
    </row>
    <row r="89" spans="1:10">
      <c r="A89" s="206"/>
      <c r="B89" s="206"/>
      <c r="C89" s="206"/>
      <c r="D89" s="206"/>
      <c r="E89" s="206"/>
      <c r="F89" s="206"/>
      <c r="G89" s="205"/>
      <c r="H89" s="205"/>
      <c r="I89" s="205"/>
      <c r="J89" s="205"/>
    </row>
    <row r="90" spans="1:10">
      <c r="A90" s="206"/>
      <c r="B90" s="206"/>
      <c r="C90" s="206"/>
      <c r="D90" s="206"/>
      <c r="E90" s="206"/>
      <c r="F90" s="206"/>
      <c r="G90" s="205"/>
      <c r="H90" s="205"/>
      <c r="I90" s="205"/>
      <c r="J90" s="205"/>
    </row>
    <row r="91" spans="1:10">
      <c r="A91" s="206"/>
      <c r="B91" s="206"/>
      <c r="C91" s="206"/>
      <c r="D91" s="206"/>
      <c r="E91" s="206"/>
      <c r="F91" s="206"/>
      <c r="G91" s="205"/>
      <c r="H91" s="205"/>
      <c r="I91" s="205"/>
      <c r="J91" s="205"/>
    </row>
    <row r="92" spans="1:10">
      <c r="A92" s="206"/>
      <c r="B92" s="206"/>
      <c r="C92" s="206"/>
      <c r="D92" s="206"/>
      <c r="E92" s="206"/>
      <c r="F92" s="206"/>
      <c r="G92" s="205"/>
      <c r="H92" s="205"/>
      <c r="I92" s="205"/>
      <c r="J92" s="205"/>
    </row>
    <row r="93" spans="1:10">
      <c r="A93" s="206"/>
      <c r="B93" s="206"/>
      <c r="C93" s="206"/>
      <c r="D93" s="206"/>
      <c r="E93" s="206"/>
      <c r="F93" s="206"/>
      <c r="G93" s="205"/>
      <c r="H93" s="205"/>
      <c r="I93" s="205"/>
      <c r="J93" s="205"/>
    </row>
    <row r="94" spans="1:10">
      <c r="A94" s="206"/>
      <c r="B94" s="206"/>
      <c r="C94" s="206"/>
      <c r="D94" s="206"/>
      <c r="E94" s="206"/>
      <c r="F94" s="206"/>
      <c r="G94" s="205"/>
      <c r="H94" s="205"/>
      <c r="I94" s="205"/>
      <c r="J94" s="205"/>
    </row>
    <row r="95" spans="1:10">
      <c r="A95" s="206"/>
      <c r="B95" s="206"/>
      <c r="C95" s="206"/>
      <c r="D95" s="206"/>
      <c r="E95" s="206"/>
      <c r="F95" s="206"/>
      <c r="G95" s="205"/>
      <c r="H95" s="205"/>
      <c r="I95" s="205"/>
      <c r="J95" s="205"/>
    </row>
    <row r="96" spans="1:10">
      <c r="A96" s="206"/>
      <c r="B96" s="206"/>
      <c r="C96" s="206"/>
      <c r="D96" s="206"/>
      <c r="E96" s="206"/>
      <c r="F96" s="206"/>
      <c r="G96" s="205"/>
      <c r="H96" s="205"/>
      <c r="I96" s="205"/>
      <c r="J96" s="205"/>
    </row>
    <row r="97" spans="1:10">
      <c r="A97" s="206"/>
      <c r="B97" s="206"/>
      <c r="C97" s="206"/>
      <c r="D97" s="206"/>
      <c r="E97" s="206"/>
      <c r="F97" s="206"/>
      <c r="G97" s="205"/>
      <c r="H97" s="205"/>
      <c r="I97" s="205"/>
      <c r="J97" s="205"/>
    </row>
    <row r="98" spans="1:10">
      <c r="A98" s="206"/>
      <c r="B98" s="206"/>
      <c r="C98" s="206"/>
      <c r="D98" s="206"/>
      <c r="E98" s="206"/>
      <c r="F98" s="206"/>
      <c r="G98" s="205"/>
      <c r="H98" s="205"/>
      <c r="I98" s="205"/>
      <c r="J98" s="205"/>
    </row>
    <row r="99" spans="1:10">
      <c r="A99" s="206"/>
      <c r="B99" s="206"/>
      <c r="C99" s="206"/>
      <c r="D99" s="206"/>
      <c r="E99" s="206"/>
      <c r="F99" s="206"/>
      <c r="G99" s="205"/>
      <c r="H99" s="205"/>
      <c r="I99" s="205"/>
      <c r="J99" s="205"/>
    </row>
    <row r="100" spans="1:10">
      <c r="A100" s="206"/>
      <c r="B100" s="206"/>
      <c r="C100" s="206"/>
      <c r="D100" s="206"/>
      <c r="E100" s="206"/>
      <c r="F100" s="206"/>
      <c r="G100" s="205"/>
      <c r="H100" s="205"/>
      <c r="I100" s="205"/>
      <c r="J100" s="205"/>
    </row>
    <row r="101" spans="1:10">
      <c r="A101" s="206"/>
      <c r="B101" s="206"/>
      <c r="C101" s="206"/>
      <c r="D101" s="206"/>
      <c r="E101" s="206"/>
      <c r="F101" s="206"/>
      <c r="G101" s="205"/>
      <c r="H101" s="205"/>
      <c r="I101" s="205"/>
      <c r="J101" s="205"/>
    </row>
    <row r="102" spans="1:10">
      <c r="A102" s="206"/>
      <c r="B102" s="206"/>
      <c r="C102" s="206"/>
      <c r="D102" s="206"/>
      <c r="E102" s="206"/>
      <c r="F102" s="206"/>
      <c r="G102" s="205"/>
      <c r="H102" s="205"/>
      <c r="I102" s="205"/>
      <c r="J102" s="205"/>
    </row>
    <row r="103" spans="1:10">
      <c r="A103" s="205"/>
      <c r="B103" s="205"/>
      <c r="C103" s="205"/>
      <c r="D103" s="205"/>
      <c r="E103" s="205"/>
      <c r="F103" s="205"/>
      <c r="G103" s="205"/>
      <c r="H103" s="205"/>
      <c r="I103" s="205"/>
      <c r="J103" s="205"/>
    </row>
    <row r="104" spans="1:10" ht="12.75" customHeight="1">
      <c r="A104" s="299" t="s">
        <v>273</v>
      </c>
      <c r="B104" s="299"/>
      <c r="C104" s="299"/>
      <c r="D104" s="299"/>
      <c r="E104" s="299"/>
      <c r="F104" s="299"/>
      <c r="G104" s="206"/>
      <c r="H104" s="206"/>
      <c r="I104" s="206"/>
      <c r="J104" s="206"/>
    </row>
    <row r="105" spans="1:10">
      <c r="A105" s="299"/>
      <c r="B105" s="299"/>
      <c r="C105" s="299"/>
      <c r="D105" s="299"/>
      <c r="E105" s="299"/>
      <c r="F105" s="299"/>
      <c r="G105" s="206"/>
      <c r="H105" s="206"/>
      <c r="I105" s="206"/>
      <c r="J105" s="206"/>
    </row>
    <row r="106" spans="1:10">
      <c r="A106" s="299"/>
      <c r="B106" s="299"/>
      <c r="C106" s="299"/>
      <c r="D106" s="299"/>
      <c r="E106" s="299"/>
      <c r="F106" s="299"/>
      <c r="G106" s="206"/>
      <c r="H106" s="206"/>
      <c r="I106" s="206"/>
      <c r="J106" s="206"/>
    </row>
    <row r="107" spans="1:10">
      <c r="A107" s="299"/>
      <c r="B107" s="299"/>
      <c r="C107" s="299"/>
      <c r="D107" s="299"/>
      <c r="E107" s="299"/>
      <c r="F107" s="299"/>
      <c r="G107" s="206"/>
      <c r="H107" s="206"/>
      <c r="I107" s="206"/>
      <c r="J107" s="206"/>
    </row>
    <row r="108" spans="1:10">
      <c r="A108" s="299"/>
      <c r="B108" s="299"/>
      <c r="C108" s="299"/>
      <c r="D108" s="299"/>
      <c r="E108" s="299"/>
      <c r="F108" s="299"/>
      <c r="G108" s="206"/>
      <c r="H108" s="206"/>
      <c r="I108" s="206"/>
      <c r="J108" s="206"/>
    </row>
    <row r="109" spans="1:10">
      <c r="A109" s="299"/>
      <c r="B109" s="299"/>
      <c r="C109" s="299"/>
      <c r="D109" s="299"/>
      <c r="E109" s="299"/>
      <c r="F109" s="299"/>
      <c r="G109" s="206"/>
      <c r="H109" s="206"/>
      <c r="I109" s="206"/>
      <c r="J109" s="206"/>
    </row>
    <row r="110" spans="1:10">
      <c r="A110" s="299"/>
      <c r="B110" s="299"/>
      <c r="C110" s="299"/>
      <c r="D110" s="299"/>
      <c r="E110" s="299"/>
      <c r="F110" s="299"/>
      <c r="G110" s="206"/>
      <c r="H110" s="206"/>
      <c r="I110" s="206"/>
      <c r="J110" s="206"/>
    </row>
    <row r="111" spans="1:10">
      <c r="A111" s="299"/>
      <c r="B111" s="299"/>
      <c r="C111" s="299"/>
      <c r="D111" s="299"/>
      <c r="E111" s="299"/>
      <c r="F111" s="299"/>
      <c r="G111" s="206"/>
      <c r="H111" s="206"/>
      <c r="I111" s="206"/>
      <c r="J111" s="206"/>
    </row>
    <row r="112" spans="1:10">
      <c r="A112" s="299"/>
      <c r="B112" s="299"/>
      <c r="C112" s="299"/>
      <c r="D112" s="299"/>
      <c r="E112" s="299"/>
      <c r="F112" s="299"/>
      <c r="G112" s="206"/>
      <c r="H112" s="206"/>
      <c r="I112" s="206"/>
      <c r="J112" s="206"/>
    </row>
    <row r="113" spans="1:10">
      <c r="A113" s="299"/>
      <c r="B113" s="299"/>
      <c r="C113" s="299"/>
      <c r="D113" s="299"/>
      <c r="E113" s="299"/>
      <c r="F113" s="299"/>
      <c r="G113" s="206"/>
      <c r="H113" s="206"/>
      <c r="I113" s="206"/>
      <c r="J113" s="206"/>
    </row>
    <row r="114" spans="1:10">
      <c r="A114" s="299"/>
      <c r="B114" s="299"/>
      <c r="C114" s="299"/>
      <c r="D114" s="299"/>
      <c r="E114" s="299"/>
      <c r="F114" s="299"/>
      <c r="G114" s="206"/>
      <c r="H114" s="206"/>
      <c r="I114" s="206"/>
      <c r="J114" s="206"/>
    </row>
    <row r="115" spans="1:10">
      <c r="A115" s="299"/>
      <c r="B115" s="299"/>
      <c r="C115" s="299"/>
      <c r="D115" s="299"/>
      <c r="E115" s="299"/>
      <c r="F115" s="299"/>
      <c r="G115" s="206"/>
      <c r="H115" s="206"/>
      <c r="I115" s="206"/>
      <c r="J115" s="206"/>
    </row>
    <row r="116" spans="1:10">
      <c r="A116" s="299"/>
      <c r="B116" s="299"/>
      <c r="C116" s="299"/>
      <c r="D116" s="299"/>
      <c r="E116" s="299"/>
      <c r="F116" s="299"/>
      <c r="G116" s="206"/>
      <c r="H116" s="206"/>
      <c r="I116" s="206"/>
      <c r="J116" s="206"/>
    </row>
    <row r="117" spans="1:10">
      <c r="A117" s="299"/>
      <c r="B117" s="299"/>
      <c r="C117" s="299"/>
      <c r="D117" s="299"/>
      <c r="E117" s="299"/>
      <c r="F117" s="299"/>
      <c r="G117" s="206"/>
      <c r="H117" s="206"/>
      <c r="I117" s="206"/>
      <c r="J117" s="206"/>
    </row>
    <row r="118" spans="1:10">
      <c r="A118" s="299"/>
      <c r="B118" s="299"/>
      <c r="C118" s="299"/>
      <c r="D118" s="299"/>
      <c r="E118" s="299"/>
      <c r="F118" s="299"/>
      <c r="G118" s="206"/>
      <c r="H118" s="206"/>
      <c r="I118" s="206"/>
      <c r="J118" s="206"/>
    </row>
    <row r="119" spans="1:10">
      <c r="A119" s="299"/>
      <c r="B119" s="299"/>
      <c r="C119" s="299"/>
      <c r="D119" s="299"/>
      <c r="E119" s="299"/>
      <c r="F119" s="299"/>
      <c r="G119" s="206"/>
      <c r="H119" s="206"/>
      <c r="I119" s="206"/>
      <c r="J119" s="206"/>
    </row>
    <row r="120" spans="1:10">
      <c r="A120" s="299"/>
      <c r="B120" s="299"/>
      <c r="C120" s="299"/>
      <c r="D120" s="299"/>
      <c r="E120" s="299"/>
      <c r="F120" s="299"/>
      <c r="G120" s="206"/>
      <c r="H120" s="206"/>
      <c r="I120" s="206"/>
      <c r="J120" s="206"/>
    </row>
    <row r="121" spans="1:10">
      <c r="A121" s="299"/>
      <c r="B121" s="299"/>
      <c r="C121" s="299"/>
      <c r="D121" s="299"/>
      <c r="E121" s="299"/>
      <c r="F121" s="299"/>
      <c r="G121" s="206"/>
      <c r="H121" s="206"/>
      <c r="I121" s="206"/>
      <c r="J121" s="206"/>
    </row>
    <row r="122" spans="1:10">
      <c r="A122" s="299"/>
      <c r="B122" s="299"/>
      <c r="C122" s="299"/>
      <c r="D122" s="299"/>
      <c r="E122" s="299"/>
      <c r="F122" s="299"/>
      <c r="G122" s="206"/>
      <c r="H122" s="206"/>
      <c r="I122" s="206"/>
      <c r="J122" s="206"/>
    </row>
    <row r="123" spans="1:10">
      <c r="A123" s="299"/>
      <c r="B123" s="299"/>
      <c r="C123" s="299"/>
      <c r="D123" s="299"/>
      <c r="E123" s="299"/>
      <c r="F123" s="299"/>
      <c r="G123" s="206"/>
      <c r="H123" s="206"/>
      <c r="I123" s="206"/>
      <c r="J123" s="206"/>
    </row>
    <row r="124" spans="1:10">
      <c r="A124" s="299"/>
      <c r="B124" s="299"/>
      <c r="C124" s="299"/>
      <c r="D124" s="299"/>
      <c r="E124" s="299"/>
      <c r="F124" s="299"/>
      <c r="G124" s="206"/>
      <c r="H124" s="206"/>
      <c r="I124" s="206"/>
      <c r="J124" s="206"/>
    </row>
    <row r="125" spans="1:10">
      <c r="A125" s="299"/>
      <c r="B125" s="299"/>
      <c r="C125" s="299"/>
      <c r="D125" s="299"/>
      <c r="E125" s="299"/>
      <c r="F125" s="299"/>
      <c r="G125" s="206"/>
      <c r="H125" s="206"/>
      <c r="I125" s="206"/>
      <c r="J125" s="206"/>
    </row>
    <row r="126" spans="1:10">
      <c r="A126" s="299"/>
      <c r="B126" s="299"/>
      <c r="C126" s="299"/>
      <c r="D126" s="299"/>
      <c r="E126" s="299"/>
      <c r="F126" s="299"/>
      <c r="G126" s="206"/>
      <c r="H126" s="206"/>
      <c r="I126" s="206"/>
      <c r="J126" s="206"/>
    </row>
    <row r="127" spans="1:10">
      <c r="A127" s="299"/>
      <c r="B127" s="299"/>
      <c r="C127" s="299"/>
      <c r="D127" s="299"/>
      <c r="E127" s="299"/>
      <c r="F127" s="299"/>
      <c r="G127" s="206"/>
      <c r="H127" s="206"/>
      <c r="I127" s="206"/>
      <c r="J127" s="206"/>
    </row>
    <row r="128" spans="1:10">
      <c r="A128" s="299"/>
      <c r="B128" s="299"/>
      <c r="C128" s="299"/>
      <c r="D128" s="299"/>
      <c r="E128" s="299"/>
      <c r="F128" s="299"/>
      <c r="G128" s="206"/>
      <c r="H128" s="206"/>
      <c r="I128" s="206"/>
      <c r="J128" s="206"/>
    </row>
    <row r="129" spans="1:10">
      <c r="A129" s="299"/>
      <c r="B129" s="299"/>
      <c r="C129" s="299"/>
      <c r="D129" s="299"/>
      <c r="E129" s="299"/>
      <c r="F129" s="299"/>
      <c r="G129" s="206"/>
      <c r="H129" s="206"/>
      <c r="I129" s="206"/>
      <c r="J129" s="206"/>
    </row>
    <row r="130" spans="1:10">
      <c r="A130" s="299"/>
      <c r="B130" s="299"/>
      <c r="C130" s="299"/>
      <c r="D130" s="299"/>
      <c r="E130" s="299"/>
      <c r="F130" s="299"/>
      <c r="G130" s="205"/>
      <c r="H130" s="206"/>
      <c r="I130" s="206"/>
      <c r="J130" s="206"/>
    </row>
    <row r="131" spans="1:10" ht="12.75" customHeight="1">
      <c r="A131" s="299"/>
      <c r="B131" s="299"/>
      <c r="C131" s="299"/>
      <c r="D131" s="299"/>
      <c r="E131" s="299"/>
      <c r="F131" s="299"/>
      <c r="G131" s="205"/>
      <c r="H131" s="206"/>
      <c r="I131" s="206"/>
      <c r="J131" s="206"/>
    </row>
    <row r="132" spans="1:10" ht="12.75" customHeight="1">
      <c r="A132" s="299"/>
      <c r="B132" s="299"/>
      <c r="C132" s="299"/>
      <c r="D132" s="299"/>
      <c r="E132" s="299"/>
      <c r="F132" s="299"/>
      <c r="G132" s="205"/>
      <c r="H132" s="206"/>
      <c r="I132" s="206"/>
      <c r="J132" s="206"/>
    </row>
    <row r="133" spans="1:10" ht="12.75" customHeight="1">
      <c r="A133" s="299"/>
      <c r="B133" s="299"/>
      <c r="C133" s="299"/>
      <c r="D133" s="299"/>
      <c r="E133" s="299"/>
      <c r="F133" s="299"/>
      <c r="G133" s="205"/>
      <c r="H133" s="206"/>
      <c r="I133" s="206"/>
      <c r="J133" s="206"/>
    </row>
    <row r="134" spans="1:10" ht="12.75" customHeight="1">
      <c r="A134" s="299"/>
      <c r="B134" s="299"/>
      <c r="C134" s="299"/>
      <c r="D134" s="299"/>
      <c r="E134" s="299"/>
      <c r="F134" s="299"/>
      <c r="G134" s="205"/>
      <c r="H134" s="206"/>
      <c r="I134" s="206"/>
      <c r="J134" s="206"/>
    </row>
    <row r="135" spans="1:10">
      <c r="A135" s="299"/>
      <c r="B135" s="299"/>
      <c r="C135" s="299"/>
      <c r="D135" s="299"/>
      <c r="E135" s="299"/>
      <c r="F135" s="299"/>
      <c r="G135" s="205"/>
      <c r="H135" s="206"/>
      <c r="I135" s="206"/>
      <c r="J135" s="206"/>
    </row>
    <row r="136" spans="1:10" ht="12.75" customHeight="1">
      <c r="A136" s="299"/>
      <c r="B136" s="299"/>
      <c r="C136" s="299"/>
      <c r="D136" s="299"/>
      <c r="E136" s="299"/>
      <c r="F136" s="299"/>
      <c r="G136" s="205"/>
      <c r="H136" s="206"/>
      <c r="I136" s="206"/>
      <c r="J136" s="206"/>
    </row>
    <row r="137" spans="1:10">
      <c r="A137" s="206"/>
      <c r="B137" s="206"/>
      <c r="C137" s="206"/>
      <c r="D137" s="206"/>
      <c r="E137" s="206"/>
      <c r="F137" s="206"/>
      <c r="G137" s="205"/>
      <c r="H137" s="205"/>
      <c r="I137" s="205"/>
      <c r="J137" s="205"/>
    </row>
    <row r="138" spans="1:10">
      <c r="A138" s="206"/>
      <c r="B138" s="206"/>
      <c r="C138" s="206"/>
      <c r="D138" s="206"/>
      <c r="E138" s="206"/>
      <c r="F138" s="206"/>
      <c r="G138" s="205"/>
      <c r="H138" s="205"/>
      <c r="I138" s="205"/>
      <c r="J138" s="205"/>
    </row>
    <row r="139" spans="1:10" ht="15" customHeight="1">
      <c r="A139" s="317" t="s">
        <v>274</v>
      </c>
      <c r="B139" s="317"/>
      <c r="C139" s="317"/>
      <c r="D139" s="317"/>
      <c r="E139" s="317"/>
      <c r="F139" s="317"/>
      <c r="G139" s="317"/>
      <c r="H139" s="317"/>
      <c r="I139" s="317"/>
      <c r="J139" s="317"/>
    </row>
    <row r="140" spans="1:10" ht="15" customHeight="1">
      <c r="A140" s="316" t="s">
        <v>275</v>
      </c>
      <c r="B140" s="316"/>
      <c r="C140" s="316"/>
      <c r="D140" s="316"/>
      <c r="E140" s="316"/>
      <c r="F140" s="316"/>
      <c r="G140" s="316"/>
      <c r="H140" s="316"/>
      <c r="I140" s="316"/>
      <c r="J140" s="316"/>
    </row>
    <row r="141" spans="1:10" ht="12.75" customHeight="1">
      <c r="A141" s="207"/>
      <c r="B141" s="207"/>
      <c r="C141" s="207"/>
      <c r="D141" s="207"/>
      <c r="E141" s="207"/>
      <c r="F141" s="207"/>
      <c r="G141" s="206"/>
      <c r="H141" s="205"/>
      <c r="I141" s="205"/>
      <c r="J141" s="205"/>
    </row>
    <row r="142" spans="1:10" ht="12.75" customHeight="1">
      <c r="A142" s="318" t="s">
        <v>276</v>
      </c>
      <c r="B142" s="318"/>
      <c r="C142" s="318"/>
      <c r="D142" s="318" t="s">
        <v>277</v>
      </c>
      <c r="E142" s="318"/>
      <c r="F142" s="318"/>
      <c r="G142" s="318"/>
      <c r="H142" s="318" t="s">
        <v>278</v>
      </c>
      <c r="I142" s="318"/>
      <c r="J142" s="318"/>
    </row>
    <row r="143" spans="1:10" ht="12.75" customHeight="1">
      <c r="A143" s="205"/>
      <c r="B143" s="207"/>
      <c r="C143" s="207"/>
      <c r="D143" s="207"/>
      <c r="E143" s="207"/>
      <c r="F143" s="207"/>
      <c r="G143" s="206"/>
      <c r="H143" s="205"/>
      <c r="I143" s="205"/>
      <c r="J143" s="205"/>
    </row>
    <row r="144" spans="1:10" ht="19.5" customHeight="1">
      <c r="A144" s="307" t="s">
        <v>279</v>
      </c>
      <c r="B144" s="309"/>
      <c r="C144" s="307" t="s">
        <v>280</v>
      </c>
      <c r="D144" s="309"/>
      <c r="E144" s="307" t="s">
        <v>281</v>
      </c>
      <c r="F144" s="308"/>
      <c r="G144" s="308"/>
      <c r="H144" s="308"/>
      <c r="I144" s="308"/>
      <c r="J144" s="309"/>
    </row>
    <row r="145" spans="1:10" ht="18.75" customHeight="1">
      <c r="A145" s="310" t="s">
        <v>282</v>
      </c>
      <c r="B145" s="311"/>
      <c r="C145" s="310" t="s">
        <v>283</v>
      </c>
      <c r="D145" s="311"/>
      <c r="E145" s="310" t="s">
        <v>284</v>
      </c>
      <c r="F145" s="314"/>
      <c r="G145" s="314"/>
      <c r="H145" s="314"/>
      <c r="I145" s="314"/>
      <c r="J145" s="311"/>
    </row>
    <row r="146" spans="1:10" ht="16.5" customHeight="1">
      <c r="A146" s="312"/>
      <c r="B146" s="313"/>
      <c r="C146" s="312" t="s">
        <v>285</v>
      </c>
      <c r="D146" s="313"/>
      <c r="E146" s="312" t="s">
        <v>286</v>
      </c>
      <c r="F146" s="315"/>
      <c r="G146" s="315"/>
      <c r="H146" s="315"/>
      <c r="I146" s="315"/>
      <c r="J146" s="313"/>
    </row>
    <row r="147" spans="1:10" ht="17.25" customHeight="1">
      <c r="A147" s="304" t="s">
        <v>287</v>
      </c>
      <c r="B147" s="306"/>
      <c r="C147" s="304" t="s">
        <v>288</v>
      </c>
      <c r="D147" s="306"/>
      <c r="E147" s="304" t="s">
        <v>289</v>
      </c>
      <c r="F147" s="305"/>
      <c r="G147" s="305"/>
      <c r="H147" s="305"/>
      <c r="I147" s="305"/>
      <c r="J147" s="306"/>
    </row>
    <row r="148" spans="1:10" ht="18" customHeight="1">
      <c r="A148" s="304" t="s">
        <v>290</v>
      </c>
      <c r="B148" s="306"/>
      <c r="C148" s="304" t="s">
        <v>291</v>
      </c>
      <c r="D148" s="306"/>
      <c r="E148" s="304" t="s">
        <v>292</v>
      </c>
      <c r="F148" s="305"/>
      <c r="G148" s="305"/>
      <c r="H148" s="305"/>
      <c r="I148" s="305"/>
      <c r="J148" s="306"/>
    </row>
    <row r="149" spans="1:10" ht="18.75" customHeight="1">
      <c r="A149" s="304" t="s">
        <v>293</v>
      </c>
      <c r="B149" s="306"/>
      <c r="C149" s="304" t="s">
        <v>294</v>
      </c>
      <c r="D149" s="306"/>
      <c r="E149" s="304" t="s">
        <v>295</v>
      </c>
      <c r="F149" s="305"/>
      <c r="G149" s="305"/>
      <c r="H149" s="305"/>
      <c r="I149" s="305"/>
      <c r="J149" s="306"/>
    </row>
    <row r="150" spans="1:10">
      <c r="A150" s="205"/>
      <c r="B150" s="205"/>
      <c r="C150" s="205"/>
      <c r="D150" s="205"/>
      <c r="E150" s="205"/>
      <c r="F150" s="205"/>
      <c r="G150" s="205"/>
      <c r="H150" s="205"/>
      <c r="I150" s="205"/>
      <c r="J150" s="205"/>
    </row>
    <row r="151" spans="1:10">
      <c r="A151" s="205"/>
      <c r="B151" s="205"/>
      <c r="C151" s="205"/>
      <c r="D151" s="205"/>
      <c r="E151" s="205"/>
      <c r="F151" s="205"/>
      <c r="G151" s="205"/>
      <c r="H151" s="205"/>
      <c r="I151" s="205"/>
      <c r="J151" s="205"/>
    </row>
    <row r="152" spans="1:10">
      <c r="A152" s="205"/>
      <c r="B152" s="205"/>
      <c r="C152" s="205"/>
      <c r="D152" s="205"/>
      <c r="E152" s="205"/>
      <c r="F152" s="205"/>
      <c r="G152" s="205"/>
      <c r="H152" s="205"/>
      <c r="I152" s="205"/>
      <c r="J152" s="205"/>
    </row>
  </sheetData>
  <mergeCells count="70">
    <mergeCell ref="A76:D76"/>
    <mergeCell ref="G74:J74"/>
    <mergeCell ref="G75:J75"/>
    <mergeCell ref="G76:J76"/>
    <mergeCell ref="G59:J62"/>
    <mergeCell ref="A68:J71"/>
    <mergeCell ref="A73:D73"/>
    <mergeCell ref="G73:J73"/>
    <mergeCell ref="A74:D74"/>
    <mergeCell ref="A75:D75"/>
    <mergeCell ref="A65:C66"/>
    <mergeCell ref="D65:F66"/>
    <mergeCell ref="G65:J66"/>
    <mergeCell ref="G63:J64"/>
    <mergeCell ref="A59:C62"/>
    <mergeCell ref="D59:F62"/>
    <mergeCell ref="E148:J148"/>
    <mergeCell ref="A104:F136"/>
    <mergeCell ref="A140:J140"/>
    <mergeCell ref="A139:J139"/>
    <mergeCell ref="A142:C142"/>
    <mergeCell ref="D142:G142"/>
    <mergeCell ref="H142:J142"/>
    <mergeCell ref="E149:J149"/>
    <mergeCell ref="A147:B147"/>
    <mergeCell ref="A148:B148"/>
    <mergeCell ref="E144:J144"/>
    <mergeCell ref="C144:D144"/>
    <mergeCell ref="A144:B144"/>
    <mergeCell ref="A145:B146"/>
    <mergeCell ref="C145:D145"/>
    <mergeCell ref="E145:J145"/>
    <mergeCell ref="E146:J146"/>
    <mergeCell ref="A149:B149"/>
    <mergeCell ref="C149:D149"/>
    <mergeCell ref="C147:D147"/>
    <mergeCell ref="C148:D148"/>
    <mergeCell ref="C146:D146"/>
    <mergeCell ref="E147:J147"/>
    <mergeCell ref="A63:C64"/>
    <mergeCell ref="D63:F64"/>
    <mergeCell ref="A58:C58"/>
    <mergeCell ref="D58:F58"/>
    <mergeCell ref="G58:J58"/>
    <mergeCell ref="A10:J13"/>
    <mergeCell ref="A15:J15"/>
    <mergeCell ref="A17:J27"/>
    <mergeCell ref="A29:J30"/>
    <mergeCell ref="A32:J33"/>
    <mergeCell ref="A35:J37"/>
    <mergeCell ref="A39:J44"/>
    <mergeCell ref="A46:J50"/>
    <mergeCell ref="A52:J53"/>
    <mergeCell ref="A55:J56"/>
    <mergeCell ref="A7:E7"/>
    <mergeCell ref="A8:E8"/>
    <mergeCell ref="A1:J1"/>
    <mergeCell ref="F2:J2"/>
    <mergeCell ref="F4:J4"/>
    <mergeCell ref="F6:J6"/>
    <mergeCell ref="F7:J7"/>
    <mergeCell ref="F8:J8"/>
    <mergeCell ref="A2:E2"/>
    <mergeCell ref="A3:E3"/>
    <mergeCell ref="A4:E4"/>
    <mergeCell ref="A5:E5"/>
    <mergeCell ref="A6:E6"/>
    <mergeCell ref="F3:G3"/>
    <mergeCell ref="H3:J3"/>
    <mergeCell ref="F5:G5"/>
  </mergeCells>
  <pageMargins left="0.7" right="0.7" top="1.1354166666666667" bottom="0.75" header="0.3" footer="0.3"/>
  <pageSetup orientation="portrait" r:id="rId1"/>
  <headerFooter>
    <oddHeader>&amp;L&amp;G&amp;R&amp;"Arial,Bold"
1132 Equity Street Shelbyville, KY 40065
(O)502.633.5499 | (F)502.633.1477
www.spray-tec.com</oddHead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workbookViewId="0">
      <selection activeCell="D22" sqref="D22"/>
    </sheetView>
  </sheetViews>
  <sheetFormatPr defaultRowHeight="12.75"/>
  <cols>
    <col min="1" max="1" width="15" customWidth="1"/>
    <col min="2" max="2" width="11.28515625" customWidth="1"/>
    <col min="3" max="3" width="12" style="4" customWidth="1"/>
    <col min="4" max="4" width="11.28515625" customWidth="1"/>
  </cols>
  <sheetData>
    <row r="1" spans="1:5" s="5" customFormat="1">
      <c r="A1" s="93" t="s">
        <v>296</v>
      </c>
      <c r="B1" s="93"/>
      <c r="C1" s="104" t="s">
        <v>297</v>
      </c>
      <c r="D1" s="93" t="s">
        <v>298</v>
      </c>
      <c r="E1" s="93" t="s">
        <v>299</v>
      </c>
    </row>
    <row r="2" spans="1:5">
      <c r="A2" t="s">
        <v>300</v>
      </c>
      <c r="C2" s="4">
        <v>190</v>
      </c>
      <c r="D2">
        <v>55</v>
      </c>
      <c r="E2" s="4">
        <f>C2/D2</f>
        <v>3.4545454545454546</v>
      </c>
    </row>
    <row r="3" spans="1:5">
      <c r="A3" t="s">
        <v>301</v>
      </c>
      <c r="C3" s="4">
        <v>260</v>
      </c>
      <c r="D3">
        <v>55</v>
      </c>
      <c r="E3" s="4">
        <f>C3/D3</f>
        <v>4.7272727272727275</v>
      </c>
    </row>
    <row r="5" spans="1:5">
      <c r="A5" s="93" t="s">
        <v>66</v>
      </c>
      <c r="B5" s="93" t="s">
        <v>65</v>
      </c>
      <c r="C5" s="104" t="s">
        <v>297</v>
      </c>
      <c r="D5" s="93" t="s">
        <v>298</v>
      </c>
    </row>
    <row r="6" spans="1:5">
      <c r="A6" s="91"/>
      <c r="B6" s="91" t="s">
        <v>302</v>
      </c>
      <c r="C6" s="116">
        <v>26.73</v>
      </c>
      <c r="D6">
        <v>300</v>
      </c>
    </row>
    <row r="7" spans="1:5">
      <c r="A7" s="102"/>
      <c r="B7" s="91" t="s">
        <v>303</v>
      </c>
      <c r="C7" s="105">
        <v>37</v>
      </c>
      <c r="D7">
        <v>300</v>
      </c>
    </row>
    <row r="8" spans="1:5">
      <c r="A8" s="102"/>
      <c r="B8" s="91" t="s">
        <v>304</v>
      </c>
      <c r="C8" s="105">
        <v>44</v>
      </c>
      <c r="D8">
        <v>300</v>
      </c>
    </row>
    <row r="9" spans="1:5">
      <c r="A9" s="102"/>
      <c r="B9" s="91" t="s">
        <v>305</v>
      </c>
      <c r="C9" s="116">
        <v>53.03</v>
      </c>
      <c r="D9">
        <v>300</v>
      </c>
    </row>
    <row r="10" spans="1:5">
      <c r="A10" s="102"/>
      <c r="B10" s="91" t="s">
        <v>306</v>
      </c>
      <c r="C10" s="116">
        <v>79.17</v>
      </c>
      <c r="D10">
        <v>300</v>
      </c>
    </row>
    <row r="11" spans="1:5">
      <c r="A11" s="102"/>
      <c r="B11" s="91" t="s">
        <v>307</v>
      </c>
      <c r="C11" s="105">
        <v>120</v>
      </c>
      <c r="D11">
        <v>300</v>
      </c>
    </row>
    <row r="12" spans="1:5">
      <c r="A12" s="102"/>
      <c r="B12" s="91" t="s">
        <v>308</v>
      </c>
      <c r="C12" s="105">
        <v>150</v>
      </c>
      <c r="D12">
        <v>300</v>
      </c>
    </row>
    <row r="14" spans="1:5" s="5" customFormat="1">
      <c r="A14" s="93" t="s">
        <v>98</v>
      </c>
      <c r="B14" s="93" t="s">
        <v>28</v>
      </c>
      <c r="C14" s="104" t="s">
        <v>297</v>
      </c>
      <c r="D14" s="93" t="s">
        <v>309</v>
      </c>
      <c r="E14" s="93" t="s">
        <v>298</v>
      </c>
    </row>
    <row r="15" spans="1:5">
      <c r="A15" t="s">
        <v>310</v>
      </c>
      <c r="B15" t="s">
        <v>311</v>
      </c>
      <c r="C15" s="105">
        <v>36.5</v>
      </c>
      <c r="E15" t="s">
        <v>312</v>
      </c>
    </row>
    <row r="16" spans="1:5">
      <c r="A16" t="s">
        <v>313</v>
      </c>
      <c r="B16" t="s">
        <v>314</v>
      </c>
      <c r="C16" s="4">
        <v>26.78</v>
      </c>
      <c r="D16" s="6">
        <v>24.5</v>
      </c>
      <c r="E16" t="s">
        <v>312</v>
      </c>
    </row>
    <row r="17" spans="1:5">
      <c r="A17" s="91" t="s">
        <v>315</v>
      </c>
      <c r="B17" s="91" t="s">
        <v>314</v>
      </c>
      <c r="C17" s="105">
        <v>30</v>
      </c>
      <c r="D17" s="108">
        <v>28</v>
      </c>
      <c r="E17" s="91" t="s">
        <v>312</v>
      </c>
    </row>
    <row r="18" spans="1:5">
      <c r="A18" t="s">
        <v>316</v>
      </c>
      <c r="B18" t="s">
        <v>317</v>
      </c>
      <c r="C18" s="4">
        <v>47.38</v>
      </c>
      <c r="D18" s="6">
        <v>42.25</v>
      </c>
      <c r="E18" t="s">
        <v>312</v>
      </c>
    </row>
    <row r="19" spans="1:5">
      <c r="A19" t="s">
        <v>316</v>
      </c>
      <c r="B19" t="s">
        <v>318</v>
      </c>
      <c r="C19" s="4">
        <v>58.11</v>
      </c>
      <c r="D19" s="6">
        <v>48.33</v>
      </c>
      <c r="E19" t="s">
        <v>312</v>
      </c>
    </row>
    <row r="20" spans="1:5">
      <c r="A20" t="s">
        <v>316</v>
      </c>
      <c r="B20" t="s">
        <v>319</v>
      </c>
      <c r="C20" s="4">
        <v>77.47</v>
      </c>
      <c r="D20" s="6">
        <v>64.5</v>
      </c>
      <c r="E20" t="s">
        <v>312</v>
      </c>
    </row>
    <row r="21" spans="1:5">
      <c r="A21" s="91" t="s">
        <v>316</v>
      </c>
      <c r="B21" s="91" t="s">
        <v>320</v>
      </c>
      <c r="C21" s="105">
        <v>88</v>
      </c>
      <c r="D21" s="108">
        <v>73</v>
      </c>
      <c r="E21" s="91" t="s">
        <v>312</v>
      </c>
    </row>
    <row r="22" spans="1:5">
      <c r="A22" s="91"/>
      <c r="B22" s="91"/>
    </row>
    <row r="24" spans="1:5" s="5" customFormat="1">
      <c r="A24" s="93" t="s">
        <v>321</v>
      </c>
      <c r="B24" s="93" t="s">
        <v>54</v>
      </c>
      <c r="C24" s="104" t="s">
        <v>297</v>
      </c>
      <c r="D24" s="93" t="s">
        <v>298</v>
      </c>
      <c r="E24" s="93"/>
    </row>
    <row r="25" spans="1:5">
      <c r="A25" t="s">
        <v>322</v>
      </c>
      <c r="B25">
        <v>3.25</v>
      </c>
      <c r="C25" s="4">
        <v>90.05</v>
      </c>
      <c r="D25">
        <v>1000</v>
      </c>
    </row>
    <row r="26" spans="1:5">
      <c r="B26">
        <v>3.75</v>
      </c>
      <c r="C26" s="4">
        <v>98.47</v>
      </c>
      <c r="D26">
        <v>1000</v>
      </c>
    </row>
    <row r="27" spans="1:5">
      <c r="B27">
        <v>4.5</v>
      </c>
      <c r="C27" s="4">
        <v>117.15</v>
      </c>
      <c r="D27">
        <v>1000</v>
      </c>
    </row>
    <row r="28" spans="1:5">
      <c r="B28">
        <v>5</v>
      </c>
      <c r="C28" s="4">
        <v>140.37</v>
      </c>
      <c r="D28">
        <v>1000</v>
      </c>
    </row>
    <row r="29" spans="1:5">
      <c r="B29">
        <v>6</v>
      </c>
      <c r="C29" s="4">
        <v>172.67</v>
      </c>
      <c r="D29">
        <v>1000</v>
      </c>
    </row>
    <row r="30" spans="1:5" s="5" customFormat="1">
      <c r="A30" s="93"/>
      <c r="B30" s="166">
        <v>7</v>
      </c>
      <c r="C30" s="167">
        <v>244.79</v>
      </c>
      <c r="D30" s="166">
        <v>1000</v>
      </c>
      <c r="E30" s="93"/>
    </row>
    <row r="31" spans="1:5">
      <c r="B31">
        <v>8</v>
      </c>
      <c r="C31" s="4">
        <v>276.01</v>
      </c>
      <c r="D31">
        <v>1000</v>
      </c>
    </row>
    <row r="32" spans="1:5">
      <c r="B32" s="95" t="s">
        <v>323</v>
      </c>
      <c r="C32" s="4" t="s">
        <v>324</v>
      </c>
    </row>
    <row r="34" spans="1:4">
      <c r="A34" s="102" t="s">
        <v>56</v>
      </c>
    </row>
    <row r="35" spans="1:4">
      <c r="A35" s="91" t="s">
        <v>325</v>
      </c>
      <c r="C35" s="4">
        <v>79.05</v>
      </c>
      <c r="D35">
        <v>1000</v>
      </c>
    </row>
  </sheetData>
  <phoneticPr fontId="5"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5eb4e53-0b43-4e28-991f-5aee810537ea">
      <Terms xmlns="http://schemas.microsoft.com/office/infopath/2007/PartnerControls"/>
    </lcf76f155ced4ddcb4097134ff3c332f>
    <TaxCatchAll xmlns="4b82818a-8f70-42ae-9188-0d4dcde29678" xsi:nil="true"/>
    <_Flow_SignoffStatus xmlns="75eb4e53-0b43-4e28-991f-5aee810537ea" xsi:nil="true"/>
    <FolderCreatedDate xmlns="75eb4e53-0b43-4e28-991f-5aee810537ea" xsi:nil="true"/>
    <IconOverlay xmlns="http://schemas.microsoft.com/sharepoint/v4" xsi:nil="true"/>
    <ClosedLostReason xmlns="75eb4e53-0b43-4e28-991f-5aee810537ea" xsi:nil="true"/>
    <LeadStatus xmlns="75eb4e53-0b43-4e28-991f-5aee810537ea" xsi:nil="true"/>
    <SourceofLead xmlns="75eb4e53-0b43-4e28-991f-5aee810537ea" xsi:nil="true"/>
    <DollarValue xmlns="75eb4e53-0b43-4e28-991f-5aee810537ea" xsi:nil="true"/>
    <_dlc_DocId xmlns="4b82818a-8f70-42ae-9188-0d4dcde29678">NJ25XDCPTP67-167323429-1082147</_dlc_DocId>
    <_dlc_DocIdUrl xmlns="4b82818a-8f70-42ae-9188-0d4dcde29678">
      <Url>https://aro365531128.sharepoint.com/sites/Data/_layouts/15/DocIdRedir.aspx?ID=NJ25XDCPTP67-167323429-1082147</Url>
      <Description>NJ25XDCPTP67-167323429-1082147</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848B5F9CDFEC4283105E2A17FECE0B" ma:contentTypeVersion="1796" ma:contentTypeDescription="Create a new document." ma:contentTypeScope="" ma:versionID="b05b4c246bda5ce640b97ab58164c8be">
  <xsd:schema xmlns:xsd="http://www.w3.org/2001/XMLSchema" xmlns:xs="http://www.w3.org/2001/XMLSchema" xmlns:p="http://schemas.microsoft.com/office/2006/metadata/properties" xmlns:ns2="4b82818a-8f70-42ae-9188-0d4dcde29678" xmlns:ns3="75eb4e53-0b43-4e28-991f-5aee810537ea" xmlns:ns4="http://schemas.microsoft.com/sharepoint/v4" targetNamespace="http://schemas.microsoft.com/office/2006/metadata/properties" ma:root="true" ma:fieldsID="1466c2fa712e33e949eb0684358570b2" ns2:_="" ns3:_="" ns4:_="">
    <xsd:import namespace="4b82818a-8f70-42ae-9188-0d4dcde29678"/>
    <xsd:import namespace="75eb4e53-0b43-4e28-991f-5aee810537ea"/>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Location" minOccurs="0"/>
                <xsd:element ref="ns3:MediaServiceGenerationTime" minOccurs="0"/>
                <xsd:element ref="ns3:MediaServiceEventHashCode" minOccurs="0"/>
                <xsd:element ref="ns3:MediaServiceAutoTags" minOccurs="0"/>
                <xsd:element ref="ns3:MediaServiceOCR" minOccurs="0"/>
                <xsd:element ref="ns3:_Flow_SignoffStatus" minOccurs="0"/>
                <xsd:element ref="ns3:MediaServiceAutoKeyPoints" minOccurs="0"/>
                <xsd:element ref="ns3:MediaServiceKeyPoints" minOccurs="0"/>
                <xsd:element ref="ns2:SharedWithUsers" minOccurs="0"/>
                <xsd:element ref="ns2:SharedWithDetails" minOccurs="0"/>
                <xsd:element ref="ns4:IconOverlay"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LeadStatus" minOccurs="0"/>
                <xsd:element ref="ns3:DollarValue" minOccurs="0"/>
                <xsd:element ref="ns3:ClosedLostReason" minOccurs="0"/>
                <xsd:element ref="ns3:SourceofLead" minOccurs="0"/>
                <xsd:element ref="ns3:FolderCreatedDat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82818a-8f70-42ae-9188-0d4dcde2967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02ae7828-dbf5-455c-a7a0-107ee2c25e36}" ma:internalName="TaxCatchAll" ma:showField="CatchAllData" ma:web="4b82818a-8f70-42ae-9188-0d4dcde296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eb4e53-0b43-4e28-991f-5aee810537e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Deal Owner" ma:format="Dropdown" ma:internalName="Sign_x002d_off_x0020_status">
      <xsd:simpleType>
        <xsd:restriction base="dms:Choice">
          <xsd:enumeration value="Aaron"/>
          <xsd:enumeration value="Anthony"/>
          <xsd:enumeration value="Randy"/>
          <xsd:enumeration value="Roger"/>
          <xsd:enumeration value="Quin"/>
          <xsd:enumeration value="Repairs"/>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bd9c94f7-4397-4ff7-b347-57b23b5775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LeadStatus" ma:index="31" nillable="true" ma:displayName="Lead Status" ma:format="Dropdown" ma:internalName="LeadStatus">
      <xsd:simpleType>
        <xsd:restriction base="dms:Choice">
          <xsd:enumeration value="COLD "/>
          <xsd:enumeration value="WARM"/>
          <xsd:enumeration value="HOT"/>
        </xsd:restriction>
      </xsd:simpleType>
    </xsd:element>
    <xsd:element name="DollarValue" ma:index="32" nillable="true" ma:displayName="Dollar Value" ma:format="Dropdown" ma:internalName="DollarValue" ma:percentage="FALSE">
      <xsd:simpleType>
        <xsd:restriction base="dms:Number"/>
      </xsd:simpleType>
    </xsd:element>
    <xsd:element name="ClosedLostReason" ma:index="33" nillable="true" ma:displayName="Closed Lost Reason" ma:format="Dropdown" ma:internalName="ClosedLostReason">
      <xsd:simpleType>
        <xsd:restriction base="dms:Text">
          <xsd:maxLength value="255"/>
        </xsd:restriction>
      </xsd:simpleType>
    </xsd:element>
    <xsd:element name="SourceofLead" ma:index="34" nillable="true" ma:displayName="Source of Lead " ma:format="Dropdown" ma:internalName="SourceofLead">
      <xsd:simpleType>
        <xsd:restriction base="dms:Text">
          <xsd:maxLength value="255"/>
        </xsd:restriction>
      </xsd:simpleType>
    </xsd:element>
    <xsd:element name="FolderCreatedDate" ma:index="35" nillable="true" ma:displayName="Folder Created Date" ma:format="DateOnly" ma:internalName="FolderCreatedDate">
      <xsd:simpleType>
        <xsd:restriction base="dms:DateTime"/>
      </xsd:simpleType>
    </xsd:element>
    <xsd:element name="MediaServiceBillingMetadata" ma:index="3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C985EA-941B-4C1E-ACFE-29430A6EF2D8}"/>
</file>

<file path=customXml/itemProps2.xml><?xml version="1.0" encoding="utf-8"?>
<ds:datastoreItem xmlns:ds="http://schemas.openxmlformats.org/officeDocument/2006/customXml" ds:itemID="{2FC4EF1B-CC48-41EB-A6C0-0D777883F4F1}"/>
</file>

<file path=customXml/itemProps3.xml><?xml version="1.0" encoding="utf-8"?>
<ds:datastoreItem xmlns:ds="http://schemas.openxmlformats.org/officeDocument/2006/customXml" ds:itemID="{3CE5D7E0-A7AF-4B41-90BB-CA7427348743}"/>
</file>

<file path=customXml/itemProps4.xml><?xml version="1.0" encoding="utf-8"?>
<ds:datastoreItem xmlns:ds="http://schemas.openxmlformats.org/officeDocument/2006/customXml" ds:itemID="{A0A80FA2-F61A-4655-8C71-2C911567E1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Miller</dc:creator>
  <cp:keywords/>
  <dc:description/>
  <cp:lastModifiedBy/>
  <cp:revision/>
  <dcterms:created xsi:type="dcterms:W3CDTF">2005-10-17T20:30:19Z</dcterms:created>
  <dcterms:modified xsi:type="dcterms:W3CDTF">2026-07-31T11:44:14Z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0x0101006E848B5F9CDFEC4283105E2A17FECE0B</vt:lpwstr>
  </property>
  <property fmtid="{D5CDD505-2E9C-101B-9397-08002B2CF9AE}" pid="4" name="_dlc_DocIdItemGuid">
    <vt:lpwstr>b557ee02-7096-48b4-a2f4-ddb62350350e</vt:lpwstr>
  </property>
  <property fmtid="{D5CDD505-2E9C-101B-9397-08002B2CF9AE}" pid="5" name="Order">
    <vt:r8>83900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