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ro365531128.sharepoint.com/sites/ShelbyandRandyPractice/Shared Documents/2026 TEST NEW FORMS/"/>
    </mc:Choice>
  </mc:AlternateContent>
  <xr:revisionPtr revIDLastSave="0" documentId="8_{A3425B18-416F-41FE-87B9-8C5F40E5309A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General Estimate" sheetId="5" r:id="rId1"/>
    <sheet name="Job Spec" sheetId="2" r:id="rId2"/>
    <sheet name="Tracking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4" l="1"/>
  <c r="F24" i="4"/>
  <c r="Q24" i="4"/>
  <c r="Q2" i="4"/>
  <c r="P24" i="4"/>
  <c r="O24" i="4"/>
  <c r="N24" i="4"/>
  <c r="M24" i="4"/>
  <c r="L24" i="4"/>
  <c r="K24" i="4"/>
  <c r="J24" i="4"/>
  <c r="I24" i="4"/>
  <c r="H24" i="4"/>
  <c r="E24" i="4"/>
  <c r="B31" i="2"/>
  <c r="B49" i="2"/>
  <c r="B48" i="2"/>
  <c r="B45" i="2"/>
  <c r="B44" i="2"/>
  <c r="B43" i="2"/>
  <c r="B47" i="2"/>
  <c r="B7" i="2"/>
  <c r="B8" i="2"/>
  <c r="B32" i="2"/>
  <c r="B33" i="2"/>
  <c r="B34" i="2"/>
  <c r="B35" i="2"/>
  <c r="B36" i="2"/>
  <c r="B37" i="2"/>
  <c r="B38" i="2"/>
  <c r="B39" i="2"/>
  <c r="B40" i="2"/>
  <c r="B41" i="2"/>
  <c r="G3" i="2"/>
  <c r="B6" i="2"/>
  <c r="B5" i="2"/>
  <c r="B4" i="2"/>
  <c r="B3" i="2"/>
  <c r="B2" i="2"/>
  <c r="B1" i="2"/>
  <c r="I27" i="5"/>
  <c r="I26" i="5"/>
  <c r="I25" i="5"/>
  <c r="I24" i="5"/>
  <c r="I29" i="5" s="1"/>
  <c r="I22" i="5"/>
  <c r="I21" i="5"/>
  <c r="I20" i="5"/>
  <c r="I19" i="5"/>
  <c r="I18" i="5"/>
  <c r="I17" i="5"/>
  <c r="I16" i="5"/>
  <c r="I15" i="5"/>
  <c r="I14" i="5"/>
  <c r="I13" i="5"/>
  <c r="I12" i="5"/>
  <c r="I11" i="5"/>
  <c r="I30" i="5" s="1"/>
  <c r="I31" i="5" s="1"/>
  <c r="J20" i="4"/>
  <c r="K20" i="4"/>
  <c r="L20" i="4"/>
  <c r="M20" i="4"/>
  <c r="N20" i="4"/>
  <c r="O20" i="4"/>
  <c r="P20" i="4"/>
  <c r="Q20" i="4"/>
  <c r="I20" i="4"/>
  <c r="H20" i="4"/>
  <c r="G20" i="4"/>
  <c r="F20" i="4"/>
  <c r="F28" i="4" s="1"/>
  <c r="E19" i="4"/>
  <c r="E20" i="4" s="1"/>
  <c r="D20" i="4"/>
  <c r="C20" i="4"/>
  <c r="B20" i="4"/>
  <c r="Q26" i="4"/>
  <c r="Q23" i="4"/>
  <c r="O27" i="4"/>
  <c r="M28" i="4"/>
  <c r="L28" i="4"/>
  <c r="N26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B23" i="4"/>
  <c r="H26" i="4"/>
  <c r="G28" i="4"/>
  <c r="D27" i="4"/>
  <c r="C26" i="4"/>
  <c r="D26" i="4"/>
  <c r="E26" i="4"/>
  <c r="F26" i="4"/>
  <c r="G26" i="4"/>
  <c r="I26" i="4"/>
  <c r="J26" i="4"/>
  <c r="K26" i="4"/>
  <c r="L26" i="4"/>
  <c r="M26" i="4"/>
  <c r="O26" i="4"/>
  <c r="P26" i="4"/>
  <c r="B26" i="4"/>
  <c r="K27" i="4"/>
  <c r="J27" i="4"/>
  <c r="I32" i="5" l="1"/>
  <c r="C24" i="4"/>
  <c r="C28" i="4" s="1"/>
  <c r="N28" i="4"/>
  <c r="P27" i="4"/>
  <c r="Q27" i="4"/>
  <c r="I28" i="4"/>
  <c r="D28" i="4"/>
  <c r="H27" i="4"/>
  <c r="Q28" i="4"/>
  <c r="H28" i="4"/>
  <c r="P28" i="4"/>
  <c r="O28" i="4"/>
  <c r="N27" i="4"/>
  <c r="M27" i="4"/>
  <c r="L27" i="4"/>
  <c r="I27" i="4"/>
  <c r="K28" i="4"/>
  <c r="J28" i="4"/>
  <c r="G27" i="4"/>
  <c r="F27" i="4"/>
  <c r="I33" i="5" l="1"/>
  <c r="I34" i="5" s="1"/>
  <c r="C27" i="4"/>
  <c r="E27" i="4" l="1"/>
  <c r="E28" i="4"/>
  <c r="B24" i="4"/>
  <c r="B27" i="4" s="1"/>
  <c r="B28" i="4" l="1"/>
</calcChain>
</file>

<file path=xl/sharedStrings.xml><?xml version="1.0" encoding="utf-8"?>
<sst xmlns="http://schemas.openxmlformats.org/spreadsheetml/2006/main" count="133" uniqueCount="108">
  <si>
    <t>BILLABLE</t>
  </si>
  <si>
    <t>PROJECT NAME:</t>
  </si>
  <si>
    <t xml:space="preserve">Address: </t>
  </si>
  <si>
    <t>Contact Name:</t>
  </si>
  <si>
    <t>Contact Phone:</t>
  </si>
  <si>
    <t>Contact Email:</t>
  </si>
  <si>
    <t>Estimator:</t>
  </si>
  <si>
    <t>WORK REQUESTED:</t>
  </si>
  <si>
    <t>Days</t>
  </si>
  <si>
    <t xml:space="preserve">Purchase Order #: </t>
  </si>
  <si>
    <t>Date of Repairs:</t>
  </si>
  <si>
    <t xml:space="preserve">                      Materials</t>
  </si>
  <si>
    <t xml:space="preserve">              Price</t>
  </si>
  <si>
    <t xml:space="preserve">               Total</t>
  </si>
  <si>
    <t>Silicone Coating</t>
  </si>
  <si>
    <t>per gal</t>
  </si>
  <si>
    <t>Reinforced Silicone Coating</t>
  </si>
  <si>
    <t>Caulk</t>
  </si>
  <si>
    <t>16 Bronze &amp; Rest is DOW</t>
  </si>
  <si>
    <t>each</t>
  </si>
  <si>
    <t>ALDO</t>
  </si>
  <si>
    <t>Emergency Sealant</t>
  </si>
  <si>
    <t>Granules</t>
  </si>
  <si>
    <t xml:space="preserve">per bucket </t>
  </si>
  <si>
    <t>Fabric</t>
  </si>
  <si>
    <t>per ft.</t>
  </si>
  <si>
    <t>Brushes/Rollers</t>
  </si>
  <si>
    <t>brushes</t>
  </si>
  <si>
    <t>rollers</t>
  </si>
  <si>
    <t>Solvent</t>
  </si>
  <si>
    <t>Type</t>
  </si>
  <si>
    <t>Fasteners</t>
  </si>
  <si>
    <t xml:space="preserve">each </t>
  </si>
  <si>
    <t>Misc. Materials (Siloxane, Downspout, Etc.)</t>
  </si>
  <si>
    <t>per pc</t>
  </si>
  <si>
    <t>Boots</t>
  </si>
  <si>
    <t>per</t>
  </si>
  <si>
    <t>Mileage</t>
  </si>
  <si>
    <t>*Charge more for TOLL BRIDGES</t>
  </si>
  <si>
    <t>Labor</t>
  </si>
  <si>
    <t xml:space="preserve">Onsite Hours: </t>
  </si>
  <si>
    <t>Travel:</t>
  </si>
  <si>
    <t xml:space="preserve">          Hourly Rate </t>
  </si>
  <si>
    <t xml:space="preserve">       Total</t>
  </si>
  <si>
    <t>Technician #1</t>
  </si>
  <si>
    <t>per Hr</t>
  </si>
  <si>
    <t>Technician #2</t>
  </si>
  <si>
    <t>Estimate Hrs. (Wes/AP)</t>
  </si>
  <si>
    <t>Technician #4</t>
  </si>
  <si>
    <t>Tech Notes:</t>
  </si>
  <si>
    <t>Please write as if the customer would see these notes; we can make minor changes as needed.</t>
  </si>
  <si>
    <t>Total Labor:</t>
  </si>
  <si>
    <t>Total Materials:</t>
  </si>
  <si>
    <t>Tax :</t>
  </si>
  <si>
    <t>Total Job Cost:</t>
  </si>
  <si>
    <t>Estimated OH:</t>
  </si>
  <si>
    <t>Final Repair Cost:</t>
  </si>
  <si>
    <t xml:space="preserve">APPROVED: </t>
  </si>
  <si>
    <t>Check here</t>
  </si>
  <si>
    <r>
      <t>Billing Information</t>
    </r>
    <r>
      <rPr>
        <b/>
        <i/>
        <sz val="12"/>
        <color rgb="FFFF0000"/>
        <rFont val="Calibri"/>
        <family val="2"/>
        <scheme val="minor"/>
      </rPr>
      <t xml:space="preserve"> (if different than Site Address)</t>
    </r>
  </si>
  <si>
    <t xml:space="preserve">Name: </t>
  </si>
  <si>
    <t>Invoice Notes:</t>
  </si>
  <si>
    <t>Company:</t>
  </si>
  <si>
    <t>Phone:</t>
  </si>
  <si>
    <t xml:space="preserve">Email: </t>
  </si>
  <si>
    <t>Job Name</t>
  </si>
  <si>
    <r>
      <t>To insert a new line (line break) inside an Excel cell, press </t>
    </r>
    <r>
      <rPr>
        <b/>
        <sz val="10"/>
        <rFont val="Arial"/>
        <family val="2"/>
      </rPr>
      <t>Alt + Enter</t>
    </r>
    <r>
      <rPr>
        <sz val="10"/>
        <rFont val="Arial"/>
        <family val="2"/>
      </rPr>
      <t> on Windows</t>
    </r>
  </si>
  <si>
    <t>Address</t>
  </si>
  <si>
    <t>To create a bulleted list in an Excel cell, double-click the cell, press Alt + 7 (or Alt + 0149 on the numeric keypad) to insert a bullet, type your text, and press Alt + Enter to start a new line.</t>
  </si>
  <si>
    <t>Contact Name</t>
  </si>
  <si>
    <t>Estimator</t>
  </si>
  <si>
    <t>Cell #</t>
  </si>
  <si>
    <t>Email</t>
  </si>
  <si>
    <t>Est. # of Days</t>
  </si>
  <si>
    <t>Total # of Hours</t>
  </si>
  <si>
    <t>Est. Crew Size</t>
  </si>
  <si>
    <t xml:space="preserve">Total sq. ft. </t>
  </si>
  <si>
    <t xml:space="preserve">Scope of Work: </t>
  </si>
  <si>
    <t>• Set-up jobsite safety (warning lines, barricades around equipment/dumpsters, roof anchors for tie-off around edges, signs, cones, etc.).</t>
  </si>
  <si>
    <t>Materials Needed</t>
  </si>
  <si>
    <t>Manufacturer/Product/Color</t>
  </si>
  <si>
    <t>Type/Color:</t>
  </si>
  <si>
    <t>SF</t>
  </si>
  <si>
    <t>Caulk - Dow</t>
  </si>
  <si>
    <t>Caulk - Aldo</t>
  </si>
  <si>
    <t>Misc</t>
  </si>
  <si>
    <t>Tech #1 Onsite</t>
  </si>
  <si>
    <t>Tech #2 Onsite</t>
  </si>
  <si>
    <t>Tech #3 Onsite</t>
  </si>
  <si>
    <t>Tech #1 Travel</t>
  </si>
  <si>
    <t>Tech #2 Travel</t>
  </si>
  <si>
    <t>Tech #3 Travel</t>
  </si>
  <si>
    <t>Notes</t>
  </si>
  <si>
    <t>Actual Amounts</t>
  </si>
  <si>
    <t>Labor Hours</t>
  </si>
  <si>
    <t>Travel Hours</t>
  </si>
  <si>
    <t>Load Hours</t>
  </si>
  <si>
    <t>OS Hours</t>
  </si>
  <si>
    <t>OS Mileage</t>
  </si>
  <si>
    <t>Top Coat</t>
  </si>
  <si>
    <t>Brushes</t>
  </si>
  <si>
    <t>Dow Caulk</t>
  </si>
  <si>
    <t>Aldo Caulk</t>
  </si>
  <si>
    <t>Crew</t>
  </si>
  <si>
    <t>Insert Additional Lines Here</t>
  </si>
  <si>
    <t>Daily Totals</t>
  </si>
  <si>
    <t>Estimated Amounts</t>
  </si>
  <si>
    <t>Over/Under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</si>
</sst>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0.0"/>
  </numFmts>
  <fonts count="2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rgb="FF0061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10"/>
      <color rgb="FF000000"/>
      <name val="Arial"/>
      <family val="2"/>
      <charset val="1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8DB4E2"/>
        <bgColor rgb="FF000000"/>
      </patternFill>
    </fill>
    <fill>
      <patternFill patternType="solid">
        <fgColor rgb="FFC6EFCE"/>
        <bgColor rgb="FF000000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2">
    <xf numFmtId="0" fontId="0" fillId="0" borderId="0" xfId="0"/>
    <xf numFmtId="0" fontId="0" fillId="2" borderId="0" xfId="0" applyFill="1"/>
    <xf numFmtId="0" fontId="1" fillId="0" borderId="3" xfId="0" applyFont="1" applyBorder="1"/>
    <xf numFmtId="0" fontId="1" fillId="0" borderId="11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4" xfId="0" applyFont="1" applyBorder="1"/>
    <xf numFmtId="0" fontId="1" fillId="0" borderId="15" xfId="0" applyFont="1" applyBorder="1"/>
    <xf numFmtId="8" fontId="1" fillId="0" borderId="10" xfId="0" applyNumberFormat="1" applyFont="1" applyBorder="1"/>
    <xf numFmtId="0" fontId="1" fillId="0" borderId="2" xfId="0" applyFont="1" applyBorder="1"/>
    <xf numFmtId="0" fontId="1" fillId="0" borderId="16" xfId="0" applyFont="1" applyBorder="1"/>
    <xf numFmtId="8" fontId="1" fillId="0" borderId="14" xfId="0" applyNumberFormat="1" applyFont="1" applyBorder="1"/>
    <xf numFmtId="0" fontId="0" fillId="0" borderId="4" xfId="0" applyBorder="1"/>
    <xf numFmtId="0" fontId="2" fillId="0" borderId="6" xfId="0" applyFont="1" applyBorder="1"/>
    <xf numFmtId="0" fontId="4" fillId="2" borderId="10" xfId="0" applyFont="1" applyFill="1" applyBorder="1"/>
    <xf numFmtId="0" fontId="4" fillId="2" borderId="11" xfId="0" applyFont="1" applyFill="1" applyBorder="1"/>
    <xf numFmtId="0" fontId="1" fillId="0" borderId="4" xfId="0" applyFont="1" applyBorder="1"/>
    <xf numFmtId="8" fontId="1" fillId="0" borderId="11" xfId="0" applyNumberFormat="1" applyFont="1" applyBorder="1"/>
    <xf numFmtId="8" fontId="1" fillId="0" borderId="1" xfId="0" applyNumberFormat="1" applyFont="1" applyBorder="1"/>
    <xf numFmtId="0" fontId="0" fillId="2" borderId="8" xfId="0" applyFill="1" applyBorder="1"/>
    <xf numFmtId="0" fontId="4" fillId="2" borderId="8" xfId="0" applyFont="1" applyFill="1" applyBorder="1"/>
    <xf numFmtId="0" fontId="6" fillId="0" borderId="10" xfId="0" applyFont="1" applyBorder="1"/>
    <xf numFmtId="0" fontId="8" fillId="2" borderId="12" xfId="0" applyFont="1" applyFill="1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12" fillId="0" borderId="11" xfId="0" applyFont="1" applyBorder="1"/>
    <xf numFmtId="0" fontId="12" fillId="0" borderId="6" xfId="0" applyFont="1" applyBorder="1"/>
    <xf numFmtId="0" fontId="3" fillId="0" borderId="1" xfId="0" applyFont="1" applyBorder="1" applyAlignment="1">
      <alignment horizontal="center" vertical="center" wrapText="1"/>
    </xf>
    <xf numFmtId="0" fontId="17" fillId="0" borderId="0" xfId="0" applyFont="1"/>
    <xf numFmtId="0" fontId="16" fillId="6" borderId="12" xfId="0" applyFont="1" applyFill="1" applyBorder="1"/>
    <xf numFmtId="0" fontId="18" fillId="0" borderId="0" xfId="0" applyFont="1"/>
    <xf numFmtId="0" fontId="18" fillId="0" borderId="0" xfId="0" applyFont="1" applyAlignment="1">
      <alignment vertical="top"/>
    </xf>
    <xf numFmtId="0" fontId="1" fillId="0" borderId="0" xfId="0" applyFont="1" applyProtection="1">
      <protection locked="0"/>
    </xf>
    <xf numFmtId="0" fontId="21" fillId="0" borderId="0" xfId="0" applyFont="1"/>
    <xf numFmtId="0" fontId="22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0" fillId="0" borderId="0" xfId="0" applyFont="1"/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/>
    </xf>
    <xf numFmtId="8" fontId="21" fillId="0" borderId="0" xfId="0" applyNumberFormat="1" applyFont="1"/>
    <xf numFmtId="0" fontId="19" fillId="8" borderId="0" xfId="0" applyFont="1" applyFill="1"/>
    <xf numFmtId="10" fontId="21" fillId="0" borderId="0" xfId="0" applyNumberFormat="1" applyFont="1"/>
    <xf numFmtId="0" fontId="24" fillId="0" borderId="0" xfId="0" applyFont="1"/>
    <xf numFmtId="0" fontId="1" fillId="0" borderId="0" xfId="0" applyFont="1"/>
    <xf numFmtId="0" fontId="2" fillId="0" borderId="0" xfId="0" applyFont="1"/>
    <xf numFmtId="0" fontId="16" fillId="6" borderId="12" xfId="0" applyFont="1" applyFill="1" applyBorder="1" applyAlignment="1">
      <alignment horizontal="left" vertical="center"/>
    </xf>
    <xf numFmtId="0" fontId="16" fillId="6" borderId="12" xfId="0" applyFont="1" applyFill="1" applyBorder="1" applyAlignment="1">
      <alignment horizontal="left" vertical="center" wrapText="1"/>
    </xf>
    <xf numFmtId="0" fontId="18" fillId="0" borderId="0" xfId="0" applyFont="1" applyAlignment="1">
      <alignment vertical="center"/>
    </xf>
    <xf numFmtId="0" fontId="18" fillId="0" borderId="1" xfId="0" applyFont="1" applyBorder="1" applyAlignment="1">
      <alignment vertical="center"/>
    </xf>
    <xf numFmtId="0" fontId="18" fillId="0" borderId="2" xfId="0" applyFont="1" applyBorder="1" applyAlignment="1">
      <alignment vertical="center"/>
    </xf>
    <xf numFmtId="0" fontId="18" fillId="0" borderId="3" xfId="0" applyFont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8" fillId="0" borderId="5" xfId="0" applyFont="1" applyBorder="1" applyAlignment="1">
      <alignment vertical="center"/>
    </xf>
    <xf numFmtId="0" fontId="18" fillId="0" borderId="6" xfId="0" applyFont="1" applyBorder="1" applyAlignment="1">
      <alignment vertical="center"/>
    </xf>
    <xf numFmtId="0" fontId="18" fillId="0" borderId="7" xfId="0" applyFont="1" applyBorder="1" applyAlignment="1">
      <alignment vertical="center"/>
    </xf>
    <xf numFmtId="0" fontId="18" fillId="0" borderId="8" xfId="0" applyFont="1" applyBorder="1" applyAlignment="1">
      <alignment vertical="center"/>
    </xf>
    <xf numFmtId="0" fontId="0" fillId="0" borderId="8" xfId="0" applyBorder="1"/>
    <xf numFmtId="0" fontId="0" fillId="0" borderId="25" xfId="0" applyBorder="1"/>
    <xf numFmtId="0" fontId="2" fillId="0" borderId="26" xfId="0" applyFont="1" applyBorder="1"/>
    <xf numFmtId="0" fontId="0" fillId="0" borderId="26" xfId="0" applyBorder="1"/>
    <xf numFmtId="0" fontId="5" fillId="0" borderId="26" xfId="0" applyFont="1" applyBorder="1" applyAlignment="1">
      <alignment horizontal="center"/>
    </xf>
    <xf numFmtId="0" fontId="0" fillId="0" borderId="27" xfId="0" applyBorder="1"/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" fillId="0" borderId="28" xfId="0" applyFont="1" applyBorder="1" applyAlignment="1">
      <alignment horizontal="left"/>
    </xf>
    <xf numFmtId="0" fontId="2" fillId="0" borderId="2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9" xfId="0" applyFont="1" applyBorder="1"/>
    <xf numFmtId="15" fontId="25" fillId="0" borderId="30" xfId="0" applyNumberFormat="1" applyFont="1" applyBorder="1" applyAlignment="1">
      <alignment horizontal="left"/>
    </xf>
    <xf numFmtId="14" fontId="0" fillId="0" borderId="30" xfId="0" applyNumberFormat="1" applyBorder="1"/>
    <xf numFmtId="0" fontId="26" fillId="0" borderId="30" xfId="0" applyFont="1" applyBorder="1"/>
    <xf numFmtId="0" fontId="0" fillId="0" borderId="28" xfId="0" applyBorder="1"/>
    <xf numFmtId="0" fontId="4" fillId="2" borderId="9" xfId="0" applyFont="1" applyFill="1" applyBorder="1"/>
    <xf numFmtId="0" fontId="4" fillId="2" borderId="1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8" fontId="1" fillId="0" borderId="16" xfId="0" applyNumberFormat="1" applyFont="1" applyBorder="1"/>
    <xf numFmtId="0" fontId="0" fillId="2" borderId="7" xfId="0" applyFill="1" applyBorder="1"/>
    <xf numFmtId="0" fontId="4" fillId="2" borderId="6" xfId="0" applyFont="1" applyFill="1" applyBorder="1"/>
    <xf numFmtId="8" fontId="0" fillId="0" borderId="7" xfId="0" applyNumberFormat="1" applyBorder="1"/>
    <xf numFmtId="0" fontId="1" fillId="0" borderId="7" xfId="0" applyFont="1" applyBorder="1"/>
    <xf numFmtId="0" fontId="1" fillId="0" borderId="8" xfId="0" applyFont="1" applyBorder="1"/>
    <xf numFmtId="0" fontId="1" fillId="0" borderId="33" xfId="0" applyFont="1" applyBorder="1"/>
    <xf numFmtId="0" fontId="14" fillId="0" borderId="33" xfId="0" applyFont="1" applyBorder="1"/>
    <xf numFmtId="0" fontId="14" fillId="0" borderId="34" xfId="0" applyFont="1" applyBorder="1"/>
    <xf numFmtId="0" fontId="0" fillId="0" borderId="35" xfId="0" applyBorder="1"/>
    <xf numFmtId="0" fontId="2" fillId="2" borderId="31" xfId="0" applyFont="1" applyFill="1" applyBorder="1" applyAlignment="1">
      <alignment horizontal="center" vertical="center"/>
    </xf>
    <xf numFmtId="0" fontId="2" fillId="2" borderId="36" xfId="0" applyFont="1" applyFill="1" applyBorder="1"/>
    <xf numFmtId="0" fontId="2" fillId="2" borderId="36" xfId="0" applyFont="1" applyFill="1" applyBorder="1" applyAlignment="1">
      <alignment horizontal="center"/>
    </xf>
    <xf numFmtId="0" fontId="16" fillId="6" borderId="11" xfId="0" applyFont="1" applyFill="1" applyBorder="1" applyAlignment="1">
      <alignment horizontal="left" vertical="center"/>
    </xf>
    <xf numFmtId="0" fontId="20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21" fillId="5" borderId="0" xfId="0" applyFont="1" applyFill="1" applyAlignment="1">
      <alignment horizontal="center"/>
    </xf>
    <xf numFmtId="0" fontId="20" fillId="7" borderId="0" xfId="0" applyFont="1" applyFill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8" fontId="0" fillId="0" borderId="11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8" fontId="0" fillId="0" borderId="9" xfId="0" applyNumberFormat="1" applyBorder="1" applyAlignment="1">
      <alignment horizontal="center"/>
    </xf>
    <xf numFmtId="8" fontId="0" fillId="0" borderId="16" xfId="0" applyNumberFormat="1" applyBorder="1" applyAlignment="1">
      <alignment horizontal="center"/>
    </xf>
    <xf numFmtId="8" fontId="0" fillId="0" borderId="15" xfId="0" applyNumberForma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top" wrapText="1"/>
    </xf>
    <xf numFmtId="0" fontId="15" fillId="0" borderId="17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8" fontId="0" fillId="0" borderId="10" xfId="0" applyNumberFormat="1" applyBorder="1" applyAlignment="1">
      <alignment horizontal="center"/>
    </xf>
    <xf numFmtId="0" fontId="1" fillId="0" borderId="10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8" fontId="0" fillId="0" borderId="11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8" fontId="0" fillId="4" borderId="20" xfId="0" applyNumberFormat="1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8" fontId="0" fillId="0" borderId="31" xfId="0" applyNumberFormat="1" applyBorder="1" applyAlignment="1">
      <alignment horizontal="center"/>
    </xf>
    <xf numFmtId="8" fontId="0" fillId="0" borderId="32" xfId="0" applyNumberFormat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6" fillId="6" borderId="1" xfId="0" applyFont="1" applyFill="1" applyBorder="1" applyAlignment="1">
      <alignment horizontal="left" vertical="top"/>
    </xf>
    <xf numFmtId="0" fontId="16" fillId="6" borderId="4" xfId="0" applyFont="1" applyFill="1" applyBorder="1" applyAlignment="1">
      <alignment horizontal="left" vertical="top"/>
    </xf>
    <xf numFmtId="0" fontId="16" fillId="6" borderId="6" xfId="0" applyFont="1" applyFill="1" applyBorder="1" applyAlignment="1">
      <alignment horizontal="left" vertical="top"/>
    </xf>
    <xf numFmtId="1" fontId="18" fillId="0" borderId="11" xfId="0" applyNumberFormat="1" applyFont="1" applyBorder="1" applyAlignment="1">
      <alignment horizontal="left" vertical="center"/>
    </xf>
    <xf numFmtId="1" fontId="18" fillId="0" borderId="10" xfId="0" applyNumberFormat="1" applyFont="1" applyBorder="1" applyAlignment="1">
      <alignment horizontal="left" vertical="center"/>
    </xf>
    <xf numFmtId="1" fontId="18" fillId="0" borderId="9" xfId="0" applyNumberFormat="1" applyFont="1" applyBorder="1" applyAlignment="1">
      <alignment horizontal="left" vertical="center"/>
    </xf>
    <xf numFmtId="0" fontId="18" fillId="0" borderId="11" xfId="0" applyFont="1" applyBorder="1" applyAlignment="1">
      <alignment horizontal="left" vertical="center"/>
    </xf>
    <xf numFmtId="0" fontId="18" fillId="0" borderId="10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0" fontId="17" fillId="0" borderId="4" xfId="0" applyFont="1" applyBorder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17" fillId="0" borderId="6" xfId="0" applyFont="1" applyBorder="1" applyAlignment="1">
      <alignment horizontal="left" vertical="top" wrapText="1"/>
    </xf>
    <xf numFmtId="0" fontId="17" fillId="0" borderId="7" xfId="0" applyFont="1" applyBorder="1" applyAlignment="1">
      <alignment horizontal="left" vertical="top" wrapText="1"/>
    </xf>
    <xf numFmtId="0" fontId="17" fillId="0" borderId="8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center"/>
    </xf>
    <xf numFmtId="0" fontId="16" fillId="6" borderId="1" xfId="0" applyFont="1" applyFill="1" applyBorder="1" applyAlignment="1">
      <alignment horizontal="center"/>
    </xf>
    <xf numFmtId="0" fontId="16" fillId="6" borderId="2" xfId="0" applyFont="1" applyFill="1" applyBorder="1" applyAlignment="1">
      <alignment horizontal="center"/>
    </xf>
    <xf numFmtId="0" fontId="16" fillId="6" borderId="3" xfId="0" applyFont="1" applyFill="1" applyBorder="1" applyAlignment="1">
      <alignment horizontal="center"/>
    </xf>
    <xf numFmtId="0" fontId="18" fillId="0" borderId="6" xfId="0" applyFont="1" applyBorder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1" fontId="18" fillId="0" borderId="12" xfId="0" applyNumberFormat="1" applyFont="1" applyBorder="1" applyAlignment="1">
      <alignment horizontal="left"/>
    </xf>
    <xf numFmtId="0" fontId="18" fillId="0" borderId="12" xfId="0" applyFont="1" applyBorder="1" applyAlignment="1">
      <alignment horizontal="left"/>
    </xf>
    <xf numFmtId="3" fontId="18" fillId="0" borderId="12" xfId="0" applyNumberFormat="1" applyFont="1" applyBorder="1" applyAlignment="1">
      <alignment horizontal="left"/>
    </xf>
    <xf numFmtId="0" fontId="18" fillId="0" borderId="2" xfId="0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18" fillId="0" borderId="2" xfId="0" applyFont="1" applyBorder="1" applyAlignment="1">
      <alignment horizontal="left"/>
    </xf>
    <xf numFmtId="0" fontId="18" fillId="0" borderId="3" xfId="0" applyFont="1" applyBorder="1" applyAlignment="1">
      <alignment horizontal="left"/>
    </xf>
    <xf numFmtId="0" fontId="18" fillId="0" borderId="0" xfId="0" applyFont="1" applyAlignment="1">
      <alignment horizontal="center"/>
    </xf>
    <xf numFmtId="164" fontId="18" fillId="0" borderId="12" xfId="0" applyNumberFormat="1" applyFont="1" applyBorder="1" applyAlignment="1">
      <alignment horizontal="left"/>
    </xf>
    <xf numFmtId="0" fontId="18" fillId="0" borderId="4" xfId="0" applyFont="1" applyBorder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0" fillId="0" borderId="4" xfId="0" applyBorder="1" applyAlignment="1"/>
    <xf numFmtId="0" fontId="0" fillId="0" borderId="0" xfId="0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18" fillId="0" borderId="12" xfId="0" applyFont="1" applyBorder="1" applyAlignment="1"/>
    <xf numFmtId="0" fontId="21" fillId="0" borderId="0" xfId="0" applyFont="1" applyAlignment="1"/>
  </cellXfs>
  <cellStyles count="1">
    <cellStyle name="Normal" xfId="0" builtinId="0"/>
  </cellStyles>
  <dxfs count="1">
    <dxf>
      <fill>
        <patternFill>
          <bgColor rgb="FFFF7979"/>
        </patternFill>
      </fill>
    </dxf>
  </dxfs>
  <tableStyles count="0" defaultTableStyle="TableStyleMedium9" defaultPivotStyle="PivotStyleLight16"/>
  <colors>
    <mruColors>
      <color rgb="FFFF7979"/>
      <color rgb="FFFF7D7D"/>
      <color rgb="FFC3EA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2</xdr:row>
      <xdr:rowOff>28575</xdr:rowOff>
    </xdr:from>
    <xdr:to>
      <xdr:col>3</xdr:col>
      <xdr:colOff>495300</xdr:colOff>
      <xdr:row>4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2BAB00-806E-BCBE-AE15-415672D59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428625"/>
          <a:ext cx="2286000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81A29-CD47-4F45-82FD-6A1C100C2AC7}">
  <dimension ref="A1:L41"/>
  <sheetViews>
    <sheetView workbookViewId="0">
      <selection activeCell="N12" sqref="N12"/>
    </sheetView>
  </sheetViews>
  <sheetFormatPr defaultRowHeight="15"/>
  <sheetData>
    <row r="1" spans="1:10" ht="15.75">
      <c r="A1" s="58"/>
      <c r="B1" s="59"/>
      <c r="C1" s="59"/>
      <c r="D1" s="59"/>
      <c r="E1" s="60"/>
      <c r="F1" s="60"/>
      <c r="G1" s="60"/>
      <c r="H1" s="61" t="s">
        <v>0</v>
      </c>
      <c r="I1" s="60"/>
      <c r="J1" s="62"/>
    </row>
    <row r="2" spans="1:10" ht="15.75">
      <c r="A2" s="16"/>
      <c r="B2" s="44"/>
      <c r="C2" s="44"/>
      <c r="E2" s="45" t="s">
        <v>1</v>
      </c>
      <c r="F2" s="45"/>
      <c r="G2" s="99"/>
      <c r="H2" s="99"/>
      <c r="I2" s="99"/>
      <c r="J2" s="100"/>
    </row>
    <row r="3" spans="1:10" ht="15.75">
      <c r="A3" s="16"/>
      <c r="E3" s="45" t="s">
        <v>2</v>
      </c>
      <c r="F3" s="45"/>
      <c r="G3" s="99"/>
      <c r="H3" s="99"/>
      <c r="I3" s="99"/>
      <c r="J3" s="100"/>
    </row>
    <row r="4" spans="1:10" ht="15.75">
      <c r="A4" s="16"/>
      <c r="E4" s="98" t="s">
        <v>3</v>
      </c>
      <c r="F4" s="98"/>
      <c r="G4" s="99"/>
      <c r="H4" s="99"/>
      <c r="I4" s="99"/>
      <c r="J4" s="100"/>
    </row>
    <row r="5" spans="1:10" ht="15.75">
      <c r="A5" s="16"/>
      <c r="E5" s="98" t="s">
        <v>4</v>
      </c>
      <c r="F5" s="98"/>
      <c r="G5" s="99"/>
      <c r="H5" s="99"/>
      <c r="I5" s="99"/>
      <c r="J5" s="100"/>
    </row>
    <row r="6" spans="1:10" ht="15.75">
      <c r="A6" s="12"/>
      <c r="E6" s="98" t="s">
        <v>5</v>
      </c>
      <c r="F6" s="98"/>
      <c r="G6" s="99"/>
      <c r="H6" s="99"/>
      <c r="I6" s="99"/>
      <c r="J6" s="100"/>
    </row>
    <row r="7" spans="1:10" ht="15.75">
      <c r="A7" s="12"/>
      <c r="E7" s="98" t="s">
        <v>6</v>
      </c>
      <c r="F7" s="98"/>
      <c r="G7" s="63"/>
      <c r="H7" s="63"/>
      <c r="I7" s="63"/>
      <c r="J7" s="64"/>
    </row>
    <row r="8" spans="1:10" ht="54" customHeight="1">
      <c r="A8" s="94" t="s">
        <v>7</v>
      </c>
      <c r="B8" s="95"/>
      <c r="C8" s="95"/>
      <c r="D8" s="96"/>
      <c r="E8" s="96"/>
      <c r="F8" s="96"/>
      <c r="G8" s="96"/>
      <c r="H8" s="96"/>
      <c r="I8" s="96"/>
      <c r="J8" s="97"/>
    </row>
    <row r="9" spans="1:10" ht="15.75">
      <c r="A9" s="13" t="s">
        <v>8</v>
      </c>
      <c r="B9" s="65"/>
      <c r="C9" s="66" t="s">
        <v>9</v>
      </c>
      <c r="D9" s="67"/>
      <c r="E9" s="65"/>
      <c r="F9" s="68" t="s">
        <v>10</v>
      </c>
      <c r="G9" s="69"/>
      <c r="H9" s="70"/>
      <c r="I9" s="71"/>
      <c r="J9" s="72"/>
    </row>
    <row r="10" spans="1:10" ht="15.75">
      <c r="A10" s="22"/>
      <c r="B10" s="15" t="s">
        <v>11</v>
      </c>
      <c r="C10" s="14"/>
      <c r="D10" s="14"/>
      <c r="E10" s="14"/>
      <c r="F10" s="73"/>
      <c r="G10" s="14" t="s">
        <v>12</v>
      </c>
      <c r="H10" s="73"/>
      <c r="I10" s="74" t="s">
        <v>13</v>
      </c>
      <c r="J10" s="75"/>
    </row>
    <row r="11" spans="1:10">
      <c r="A11" s="23"/>
      <c r="B11" s="5" t="s">
        <v>14</v>
      </c>
      <c r="C11" s="5"/>
      <c r="D11" s="5"/>
      <c r="E11" s="5"/>
      <c r="F11" s="4"/>
      <c r="G11" s="17">
        <v>60</v>
      </c>
      <c r="H11" s="4" t="s">
        <v>15</v>
      </c>
      <c r="I11" s="101">
        <f t="shared" ref="I11:I22" si="0">A11*G11</f>
        <v>0</v>
      </c>
      <c r="J11" s="102"/>
    </row>
    <row r="12" spans="1:10">
      <c r="A12" s="23"/>
      <c r="B12" s="5" t="s">
        <v>16</v>
      </c>
      <c r="C12" s="5"/>
      <c r="D12" s="5"/>
      <c r="E12" s="5"/>
      <c r="F12" s="4"/>
      <c r="G12" s="17">
        <v>45</v>
      </c>
      <c r="H12" s="4" t="s">
        <v>15</v>
      </c>
      <c r="I12" s="101">
        <f t="shared" si="0"/>
        <v>0</v>
      </c>
      <c r="J12" s="102"/>
    </row>
    <row r="13" spans="1:10">
      <c r="A13" s="23"/>
      <c r="B13" s="5" t="s">
        <v>17</v>
      </c>
      <c r="C13" s="4" t="s">
        <v>18</v>
      </c>
      <c r="D13" s="4"/>
      <c r="E13" s="4"/>
      <c r="F13" s="4"/>
      <c r="G13" s="17">
        <v>16</v>
      </c>
      <c r="H13" s="4" t="s">
        <v>19</v>
      </c>
      <c r="I13" s="101">
        <f t="shared" si="0"/>
        <v>0</v>
      </c>
      <c r="J13" s="102"/>
    </row>
    <row r="14" spans="1:10">
      <c r="A14" s="23"/>
      <c r="B14" s="5" t="s">
        <v>17</v>
      </c>
      <c r="C14" s="21" t="s">
        <v>20</v>
      </c>
      <c r="D14" s="21" t="s">
        <v>21</v>
      </c>
      <c r="E14" s="21"/>
      <c r="F14" s="4"/>
      <c r="G14" s="17">
        <v>28.5</v>
      </c>
      <c r="H14" s="4" t="s">
        <v>19</v>
      </c>
      <c r="I14" s="101">
        <f t="shared" si="0"/>
        <v>0</v>
      </c>
      <c r="J14" s="102"/>
    </row>
    <row r="15" spans="1:10">
      <c r="A15" s="23"/>
      <c r="B15" s="5" t="s">
        <v>22</v>
      </c>
      <c r="C15" s="5"/>
      <c r="D15" s="5"/>
      <c r="E15" s="5"/>
      <c r="F15" s="4"/>
      <c r="G15" s="17">
        <v>50</v>
      </c>
      <c r="H15" s="4" t="s">
        <v>23</v>
      </c>
      <c r="I15" s="101">
        <f t="shared" si="0"/>
        <v>0</v>
      </c>
      <c r="J15" s="103"/>
    </row>
    <row r="16" spans="1:10">
      <c r="A16" s="23"/>
      <c r="B16" s="5" t="s">
        <v>24</v>
      </c>
      <c r="C16" s="5"/>
      <c r="D16" s="5"/>
      <c r="E16" s="5"/>
      <c r="F16" s="4"/>
      <c r="G16" s="17">
        <v>1</v>
      </c>
      <c r="H16" s="4" t="s">
        <v>25</v>
      </c>
      <c r="I16" s="101">
        <f t="shared" si="0"/>
        <v>0</v>
      </c>
      <c r="J16" s="102"/>
    </row>
    <row r="17" spans="1:10">
      <c r="A17" s="23"/>
      <c r="B17" s="5" t="s">
        <v>26</v>
      </c>
      <c r="C17" s="5"/>
      <c r="D17" s="21" t="s">
        <v>27</v>
      </c>
      <c r="F17" s="21" t="s">
        <v>28</v>
      </c>
      <c r="G17" s="17">
        <v>5</v>
      </c>
      <c r="H17" s="4" t="s">
        <v>19</v>
      </c>
      <c r="I17" s="101">
        <f t="shared" si="0"/>
        <v>0</v>
      </c>
      <c r="J17" s="102"/>
    </row>
    <row r="18" spans="1:10">
      <c r="A18" s="23"/>
      <c r="B18" s="5" t="s">
        <v>29</v>
      </c>
      <c r="C18" s="5"/>
      <c r="D18" s="21" t="s">
        <v>30</v>
      </c>
      <c r="E18" s="21"/>
      <c r="F18" s="21"/>
      <c r="G18" s="17">
        <v>7</v>
      </c>
      <c r="H18" s="4" t="s">
        <v>19</v>
      </c>
      <c r="I18" s="101">
        <f t="shared" si="0"/>
        <v>0</v>
      </c>
      <c r="J18" s="103"/>
    </row>
    <row r="19" spans="1:10">
      <c r="A19" s="23"/>
      <c r="B19" s="5" t="s">
        <v>31</v>
      </c>
      <c r="C19" s="5"/>
      <c r="D19" s="21" t="s">
        <v>30</v>
      </c>
      <c r="E19" s="21"/>
      <c r="F19" s="21"/>
      <c r="G19" s="17">
        <v>1</v>
      </c>
      <c r="H19" s="4" t="s">
        <v>32</v>
      </c>
      <c r="I19" s="101">
        <f t="shared" si="0"/>
        <v>0</v>
      </c>
      <c r="J19" s="103"/>
    </row>
    <row r="20" spans="1:10">
      <c r="A20" s="23"/>
      <c r="B20" s="5" t="s">
        <v>33</v>
      </c>
      <c r="C20" s="5"/>
      <c r="D20" s="5"/>
      <c r="E20" s="5"/>
      <c r="F20" s="4"/>
      <c r="G20" s="17">
        <v>250</v>
      </c>
      <c r="H20" s="4" t="s">
        <v>34</v>
      </c>
      <c r="I20" s="101">
        <f t="shared" si="0"/>
        <v>0</v>
      </c>
      <c r="J20" s="102"/>
    </row>
    <row r="21" spans="1:10">
      <c r="A21" s="23"/>
      <c r="B21" s="9" t="s">
        <v>35</v>
      </c>
      <c r="C21" s="9"/>
      <c r="D21" s="9"/>
      <c r="E21" s="9"/>
      <c r="F21" s="4"/>
      <c r="G21" s="18">
        <v>42</v>
      </c>
      <c r="H21" s="2" t="s">
        <v>36</v>
      </c>
      <c r="I21" s="101">
        <f t="shared" si="0"/>
        <v>0</v>
      </c>
      <c r="J21" s="102"/>
    </row>
    <row r="22" spans="1:10">
      <c r="A22" s="24"/>
      <c r="B22" s="82" t="s">
        <v>37</v>
      </c>
      <c r="C22" s="82"/>
      <c r="D22" s="83" t="s">
        <v>38</v>
      </c>
      <c r="E22" s="84"/>
      <c r="F22" s="85"/>
      <c r="G22" s="76">
        <v>1.25</v>
      </c>
      <c r="H22" s="7" t="s">
        <v>19</v>
      </c>
      <c r="I22" s="104">
        <f t="shared" si="0"/>
        <v>0</v>
      </c>
      <c r="J22" s="105"/>
    </row>
    <row r="23" spans="1:10" ht="15.75">
      <c r="A23" s="86" t="s">
        <v>39</v>
      </c>
      <c r="B23" s="87" t="s">
        <v>40</v>
      </c>
      <c r="C23" s="87"/>
      <c r="D23" s="88"/>
      <c r="E23" s="87" t="s">
        <v>41</v>
      </c>
      <c r="F23" s="88"/>
      <c r="G23" s="77" t="s">
        <v>42</v>
      </c>
      <c r="H23" s="19"/>
      <c r="I23" s="78" t="s">
        <v>43</v>
      </c>
      <c r="J23" s="20"/>
    </row>
    <row r="24" spans="1:10" ht="15.75">
      <c r="A24" s="25"/>
      <c r="B24" s="80" t="s">
        <v>44</v>
      </c>
      <c r="C24" s="80"/>
      <c r="D24" s="80"/>
      <c r="E24" s="80"/>
      <c r="F24" s="81"/>
      <c r="G24" s="8">
        <v>50</v>
      </c>
      <c r="H24" s="4" t="s">
        <v>45</v>
      </c>
      <c r="I24" s="101">
        <f>A24*G24</f>
        <v>0</v>
      </c>
      <c r="J24" s="103"/>
    </row>
    <row r="25" spans="1:10">
      <c r="A25" s="23"/>
      <c r="B25" s="3" t="s">
        <v>46</v>
      </c>
      <c r="C25" s="5"/>
      <c r="D25" s="5"/>
      <c r="E25" s="5"/>
      <c r="F25" s="4"/>
      <c r="G25" s="8">
        <v>50</v>
      </c>
      <c r="H25" s="4" t="s">
        <v>45</v>
      </c>
      <c r="I25" s="101">
        <f>A25*G25</f>
        <v>0</v>
      </c>
      <c r="J25" s="103"/>
    </row>
    <row r="26" spans="1:10">
      <c r="A26" s="23"/>
      <c r="B26" s="3" t="s">
        <v>47</v>
      </c>
      <c r="C26" s="5"/>
      <c r="D26" s="5"/>
      <c r="E26" s="5"/>
      <c r="F26" s="4"/>
      <c r="G26" s="8">
        <v>50</v>
      </c>
      <c r="H26" s="4" t="s">
        <v>45</v>
      </c>
      <c r="I26" s="101">
        <f>A26*G26</f>
        <v>0</v>
      </c>
      <c r="J26" s="103"/>
    </row>
    <row r="27" spans="1:10">
      <c r="A27" s="24"/>
      <c r="B27" s="10" t="s">
        <v>48</v>
      </c>
      <c r="C27" s="6"/>
      <c r="D27" s="6"/>
      <c r="E27" s="6"/>
      <c r="F27" s="7"/>
      <c r="G27" s="11">
        <v>35</v>
      </c>
      <c r="H27" s="7" t="s">
        <v>45</v>
      </c>
      <c r="I27" s="104">
        <f>A27*G27</f>
        <v>0</v>
      </c>
      <c r="J27" s="105"/>
    </row>
    <row r="28" spans="1:10" ht="30.75">
      <c r="A28" s="28" t="s">
        <v>49</v>
      </c>
      <c r="B28" s="128"/>
      <c r="C28" s="129"/>
      <c r="D28" s="129"/>
      <c r="E28" s="129"/>
      <c r="F28" s="130"/>
      <c r="G28" s="79"/>
      <c r="H28" s="57"/>
      <c r="I28" s="137"/>
      <c r="J28" s="138"/>
    </row>
    <row r="29" spans="1:10">
      <c r="A29" s="119" t="s">
        <v>50</v>
      </c>
      <c r="B29" s="131"/>
      <c r="C29" s="132"/>
      <c r="D29" s="132"/>
      <c r="E29" s="132"/>
      <c r="F29" s="133"/>
      <c r="G29" s="121" t="s">
        <v>51</v>
      </c>
      <c r="H29" s="122"/>
      <c r="I29" s="101">
        <f>SUM(I24:J28)</f>
        <v>0</v>
      </c>
      <c r="J29" s="103"/>
    </row>
    <row r="30" spans="1:10">
      <c r="A30" s="119"/>
      <c r="B30" s="131"/>
      <c r="C30" s="132"/>
      <c r="D30" s="132"/>
      <c r="E30" s="132"/>
      <c r="F30" s="133"/>
      <c r="G30" s="121" t="s">
        <v>52</v>
      </c>
      <c r="H30" s="122"/>
      <c r="I30" s="101">
        <f>SUM(I11:J23)</f>
        <v>0</v>
      </c>
      <c r="J30" s="103"/>
    </row>
    <row r="31" spans="1:10">
      <c r="A31" s="119"/>
      <c r="B31" s="131"/>
      <c r="C31" s="132"/>
      <c r="D31" s="132"/>
      <c r="E31" s="132"/>
      <c r="F31" s="133"/>
      <c r="G31" s="121" t="s">
        <v>53</v>
      </c>
      <c r="H31" s="122"/>
      <c r="I31" s="123">
        <f>I30*6%</f>
        <v>0</v>
      </c>
      <c r="J31" s="102"/>
    </row>
    <row r="32" spans="1:10">
      <c r="A32" s="119"/>
      <c r="B32" s="131"/>
      <c r="C32" s="132"/>
      <c r="D32" s="132"/>
      <c r="E32" s="132"/>
      <c r="F32" s="133"/>
      <c r="G32" s="124" t="s">
        <v>54</v>
      </c>
      <c r="H32" s="125"/>
      <c r="I32" s="126">
        <f>I29+I30+I31</f>
        <v>0</v>
      </c>
      <c r="J32" s="127"/>
    </row>
    <row r="33" spans="1:12">
      <c r="A33" s="119"/>
      <c r="B33" s="131"/>
      <c r="C33" s="132"/>
      <c r="D33" s="132"/>
      <c r="E33" s="132"/>
      <c r="F33" s="133"/>
      <c r="G33" s="124" t="s">
        <v>55</v>
      </c>
      <c r="H33" s="125"/>
      <c r="I33" s="126">
        <f>I32*40%</f>
        <v>0</v>
      </c>
      <c r="J33" s="127"/>
    </row>
    <row r="34" spans="1:12" ht="15.75">
      <c r="A34" s="119"/>
      <c r="B34" s="131"/>
      <c r="C34" s="132"/>
      <c r="D34" s="132"/>
      <c r="E34" s="132"/>
      <c r="F34" s="133"/>
      <c r="G34" s="139" t="s">
        <v>56</v>
      </c>
      <c r="H34" s="140"/>
      <c r="I34" s="101">
        <f>I32+I33</f>
        <v>0</v>
      </c>
      <c r="J34" s="102"/>
    </row>
    <row r="35" spans="1:12">
      <c r="A35" s="120"/>
      <c r="B35" s="134"/>
      <c r="C35" s="135"/>
      <c r="D35" s="135"/>
      <c r="E35" s="135"/>
      <c r="F35" s="136"/>
      <c r="G35" s="108" t="s">
        <v>57</v>
      </c>
      <c r="H35" s="109"/>
      <c r="I35" s="110" t="s">
        <v>58</v>
      </c>
      <c r="J35" s="111"/>
      <c r="K35" s="1"/>
      <c r="L35" s="1"/>
    </row>
    <row r="36" spans="1:12" ht="15.75">
      <c r="A36" s="112" t="s">
        <v>59</v>
      </c>
      <c r="B36" s="113"/>
      <c r="C36" s="113"/>
      <c r="D36" s="113"/>
      <c r="E36" s="113"/>
      <c r="F36" s="113"/>
      <c r="G36" s="114"/>
      <c r="H36" s="114"/>
      <c r="I36" s="114"/>
      <c r="J36" s="115"/>
    </row>
    <row r="37" spans="1:12" ht="15.75">
      <c r="A37" s="26" t="s">
        <v>60</v>
      </c>
      <c r="B37" s="106"/>
      <c r="C37" s="106"/>
      <c r="D37" s="107"/>
      <c r="E37" s="116" t="s">
        <v>61</v>
      </c>
      <c r="F37" s="117"/>
      <c r="G37" s="117"/>
      <c r="H37" s="117"/>
      <c r="I37" s="117"/>
      <c r="J37" s="118"/>
    </row>
    <row r="38" spans="1:12" ht="15.75">
      <c r="A38" s="26" t="s">
        <v>62</v>
      </c>
      <c r="B38" s="106"/>
      <c r="C38" s="106"/>
      <c r="D38" s="107"/>
      <c r="E38" s="174"/>
      <c r="F38" s="175"/>
      <c r="G38" s="175"/>
      <c r="H38" s="175"/>
      <c r="I38" s="175"/>
      <c r="J38" s="176"/>
    </row>
    <row r="39" spans="1:12" ht="15.75">
      <c r="A39" s="26" t="s">
        <v>2</v>
      </c>
      <c r="B39" s="106"/>
      <c r="C39" s="106"/>
      <c r="D39" s="107"/>
      <c r="E39" s="174"/>
      <c r="F39" s="175"/>
      <c r="G39" s="175"/>
      <c r="H39" s="175"/>
      <c r="I39" s="175"/>
      <c r="J39" s="176"/>
    </row>
    <row r="40" spans="1:12" ht="15.75">
      <c r="A40" s="26" t="s">
        <v>63</v>
      </c>
      <c r="B40" s="106"/>
      <c r="C40" s="106"/>
      <c r="D40" s="107"/>
      <c r="E40" s="174"/>
      <c r="F40" s="175"/>
      <c r="G40" s="175"/>
      <c r="H40" s="175"/>
      <c r="I40" s="175"/>
      <c r="J40" s="176"/>
    </row>
    <row r="41" spans="1:12" ht="15.75">
      <c r="A41" s="27" t="s">
        <v>64</v>
      </c>
      <c r="B41" s="106"/>
      <c r="C41" s="106"/>
      <c r="D41" s="107"/>
      <c r="E41" s="177"/>
      <c r="F41" s="178"/>
      <c r="G41" s="178"/>
      <c r="H41" s="178"/>
      <c r="I41" s="178"/>
      <c r="J41" s="179"/>
    </row>
  </sheetData>
  <mergeCells count="55">
    <mergeCell ref="B39:D39"/>
    <mergeCell ref="E39:J39"/>
    <mergeCell ref="B40:D40"/>
    <mergeCell ref="E40:J40"/>
    <mergeCell ref="G32:H32"/>
    <mergeCell ref="I32:J32"/>
    <mergeCell ref="G33:H33"/>
    <mergeCell ref="B28:F35"/>
    <mergeCell ref="I28:J28"/>
    <mergeCell ref="I33:J33"/>
    <mergeCell ref="G34:H34"/>
    <mergeCell ref="I34:J34"/>
    <mergeCell ref="B41:D41"/>
    <mergeCell ref="E41:J41"/>
    <mergeCell ref="G35:H35"/>
    <mergeCell ref="I35:J35"/>
    <mergeCell ref="A36:J36"/>
    <mergeCell ref="B37:D37"/>
    <mergeCell ref="E37:J37"/>
    <mergeCell ref="B38:D38"/>
    <mergeCell ref="E38:J38"/>
    <mergeCell ref="A29:A35"/>
    <mergeCell ref="G29:H29"/>
    <mergeCell ref="I29:J29"/>
    <mergeCell ref="G30:H30"/>
    <mergeCell ref="I30:J30"/>
    <mergeCell ref="G31:H31"/>
    <mergeCell ref="I31:J31"/>
    <mergeCell ref="I17:J17"/>
    <mergeCell ref="I18:J18"/>
    <mergeCell ref="I19:J19"/>
    <mergeCell ref="I20:J20"/>
    <mergeCell ref="I21:J21"/>
    <mergeCell ref="I22:J22"/>
    <mergeCell ref="I24:J24"/>
    <mergeCell ref="I25:J25"/>
    <mergeCell ref="I26:J26"/>
    <mergeCell ref="I27:J27"/>
    <mergeCell ref="I16:J16"/>
    <mergeCell ref="G2:J2"/>
    <mergeCell ref="G3:J3"/>
    <mergeCell ref="E4:F4"/>
    <mergeCell ref="G6:J6"/>
    <mergeCell ref="I11:J11"/>
    <mergeCell ref="I12:J12"/>
    <mergeCell ref="I13:J13"/>
    <mergeCell ref="I14:J14"/>
    <mergeCell ref="I15:J15"/>
    <mergeCell ref="E7:F7"/>
    <mergeCell ref="A8:C8"/>
    <mergeCell ref="D8:J8"/>
    <mergeCell ref="E5:F5"/>
    <mergeCell ref="E6:F6"/>
    <mergeCell ref="G4:J4"/>
    <mergeCell ref="G5:J5"/>
  </mergeCells>
  <dataValidations count="5">
    <dataValidation type="list" allowBlank="1" showInputMessage="1" showErrorMessage="1" sqref="B13:B14" xr:uid="{FF164A26-1D13-4691-A014-D56BEA17C406}">
      <formula1>"Dow, ALDO, Gaco Patch "</formula1>
    </dataValidation>
    <dataValidation type="list" allowBlank="1" showInputMessage="1" showErrorMessage="1" sqref="C14:C15" xr:uid="{AAA53FBA-5188-4176-82EC-E0860110B416}">
      <formula1>"Type, Dow, ALDO, Gaco Patch "</formula1>
    </dataValidation>
    <dataValidation type="list" allowBlank="1" showInputMessage="1" showErrorMessage="1" sqref="I35:J35" xr:uid="{A16F1D76-FC82-4FA9-958F-6C8FC11F701D}">
      <formula1>"Check here, Okay RJ, Okay JHJ, Revise"</formula1>
    </dataValidation>
    <dataValidation type="list" allowBlank="1" showInputMessage="1" showErrorMessage="1" sqref="H1" xr:uid="{C4A27F9B-B4FC-4916-BD12-EE24C0E330B6}">
      <formula1>"Billable, Warranty, Preventative Maintenance "</formula1>
    </dataValidation>
    <dataValidation type="list" allowBlank="1" showInputMessage="1" showErrorMessage="1" sqref="D17:D19 F17 E18:F19" xr:uid="{245E9DF7-0372-4BC4-AC83-07BAA3627ECF}">
      <formula1>"Type, brushes, rollers, solvent, fasteners, butyl tape"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CCEAC-7645-4DE4-BF9F-7A7219ACC4D7}">
  <dimension ref="A1:R55"/>
  <sheetViews>
    <sheetView view="pageLayout" zoomScaleNormal="100" workbookViewId="0">
      <selection activeCell="B8" sqref="B8:E8"/>
    </sheetView>
  </sheetViews>
  <sheetFormatPr defaultRowHeight="12.75"/>
  <cols>
    <col min="1" max="1" width="17" style="31" customWidth="1"/>
    <col min="2" max="2" width="13.140625" style="31" bestFit="1" customWidth="1"/>
    <col min="3" max="3" width="11.5703125" style="31" customWidth="1"/>
    <col min="4" max="4" width="9.7109375" style="31" bestFit="1" customWidth="1"/>
    <col min="5" max="5" width="9.140625" style="31"/>
    <col min="6" max="6" width="10.85546875" style="31" customWidth="1"/>
    <col min="7" max="16384" width="9.140625" style="31"/>
  </cols>
  <sheetData>
    <row r="1" spans="1:18">
      <c r="A1" s="30" t="s">
        <v>65</v>
      </c>
      <c r="B1" s="147">
        <f>'General Estimate'!G2</f>
        <v>0</v>
      </c>
      <c r="C1" s="148"/>
      <c r="D1" s="148"/>
      <c r="E1" s="148"/>
      <c r="F1" s="148"/>
      <c r="G1" s="148"/>
      <c r="H1" s="149"/>
      <c r="I1" s="29" t="s">
        <v>66</v>
      </c>
    </row>
    <row r="2" spans="1:18" ht="15" customHeight="1">
      <c r="A2" s="30" t="s">
        <v>67</v>
      </c>
      <c r="B2" s="180">
        <f>'General Estimate'!G3</f>
        <v>0</v>
      </c>
      <c r="C2" s="180"/>
      <c r="D2" s="180"/>
      <c r="E2" s="180"/>
      <c r="F2" s="180"/>
      <c r="G2" s="180"/>
      <c r="H2" s="180"/>
      <c r="I2" s="172" t="s">
        <v>68</v>
      </c>
      <c r="J2" s="173"/>
      <c r="K2" s="173"/>
      <c r="L2" s="173"/>
      <c r="M2" s="173"/>
      <c r="N2" s="173"/>
      <c r="O2" s="173"/>
      <c r="P2" s="173"/>
      <c r="Q2" s="173"/>
      <c r="R2" s="32"/>
    </row>
    <row r="3" spans="1:18">
      <c r="A3" s="30" t="s">
        <v>69</v>
      </c>
      <c r="B3" s="164">
        <f>'General Estimate'!G4</f>
        <v>0</v>
      </c>
      <c r="C3" s="164"/>
      <c r="D3" s="164"/>
      <c r="E3" s="164"/>
      <c r="F3" s="30" t="s">
        <v>70</v>
      </c>
      <c r="G3" s="164">
        <f>'General Estimate'!G7</f>
        <v>0</v>
      </c>
      <c r="H3" s="164"/>
      <c r="I3" s="172"/>
      <c r="J3" s="173"/>
      <c r="K3" s="173"/>
      <c r="L3" s="173"/>
      <c r="M3" s="173"/>
      <c r="N3" s="173"/>
      <c r="O3" s="173"/>
      <c r="P3" s="173"/>
      <c r="Q3" s="173"/>
    </row>
    <row r="4" spans="1:18">
      <c r="A4" s="30" t="s">
        <v>71</v>
      </c>
      <c r="B4" s="164">
        <f>'General Estimate'!G5</f>
        <v>0</v>
      </c>
      <c r="C4" s="164"/>
      <c r="D4" s="164"/>
      <c r="E4" s="164"/>
      <c r="F4" s="30"/>
      <c r="G4" s="164"/>
      <c r="H4" s="164"/>
    </row>
    <row r="5" spans="1:18">
      <c r="A5" s="30" t="s">
        <v>72</v>
      </c>
      <c r="B5" s="164">
        <f>'General Estimate'!G6</f>
        <v>0</v>
      </c>
      <c r="C5" s="164"/>
      <c r="D5" s="164"/>
      <c r="E5" s="164"/>
      <c r="F5" s="30"/>
      <c r="G5" s="164"/>
      <c r="H5" s="164"/>
    </row>
    <row r="6" spans="1:18">
      <c r="A6" s="30" t="s">
        <v>73</v>
      </c>
      <c r="B6" s="171">
        <f>'General Estimate'!B9</f>
        <v>0</v>
      </c>
      <c r="C6" s="171"/>
      <c r="D6" s="171"/>
      <c r="E6" s="171"/>
      <c r="F6" s="30"/>
      <c r="G6" s="164"/>
      <c r="H6" s="164"/>
    </row>
    <row r="7" spans="1:18">
      <c r="A7" s="30" t="s">
        <v>74</v>
      </c>
      <c r="B7" s="164">
        <f>SUM('General Estimate'!A24:A27)</f>
        <v>0</v>
      </c>
      <c r="C7" s="164"/>
      <c r="D7" s="164"/>
      <c r="E7" s="164"/>
      <c r="F7" s="30"/>
      <c r="G7" s="164"/>
      <c r="H7" s="164"/>
    </row>
    <row r="8" spans="1:18">
      <c r="A8" s="30" t="s">
        <v>75</v>
      </c>
      <c r="B8" s="163" t="e">
        <f>SUM('General Estimate'!A24:A27)/('General Estimate'!D23+'General Estimate'!F23)/'General Estimate'!B9</f>
        <v>#DIV/0!</v>
      </c>
      <c r="C8" s="164"/>
      <c r="D8" s="164"/>
      <c r="E8" s="164"/>
      <c r="F8" s="30" t="s">
        <v>76</v>
      </c>
      <c r="G8" s="165"/>
      <c r="H8" s="164"/>
    </row>
    <row r="9" spans="1:18">
      <c r="A9" s="166"/>
      <c r="B9" s="166"/>
      <c r="C9" s="166"/>
      <c r="D9" s="166"/>
      <c r="E9" s="166"/>
      <c r="F9" s="166"/>
      <c r="G9" s="166"/>
      <c r="H9" s="166"/>
    </row>
    <row r="10" spans="1:18">
      <c r="A10" s="167" t="s">
        <v>77</v>
      </c>
      <c r="B10" s="168"/>
      <c r="C10" s="168"/>
      <c r="D10" s="168"/>
      <c r="E10" s="168"/>
      <c r="F10" s="168"/>
      <c r="G10" s="168"/>
      <c r="H10" s="169"/>
    </row>
    <row r="11" spans="1:18" ht="12.75" customHeight="1">
      <c r="A11" s="150" t="s">
        <v>78</v>
      </c>
      <c r="B11" s="151"/>
      <c r="C11" s="151"/>
      <c r="D11" s="151"/>
      <c r="E11" s="151"/>
      <c r="F11" s="151"/>
      <c r="G11" s="151"/>
      <c r="H11" s="152"/>
    </row>
    <row r="12" spans="1:18">
      <c r="A12" s="150"/>
      <c r="B12" s="151"/>
      <c r="C12" s="151"/>
      <c r="D12" s="151"/>
      <c r="E12" s="151"/>
      <c r="F12" s="151"/>
      <c r="G12" s="151"/>
      <c r="H12" s="152"/>
    </row>
    <row r="13" spans="1:18">
      <c r="A13" s="150"/>
      <c r="B13" s="151"/>
      <c r="C13" s="151"/>
      <c r="D13" s="151"/>
      <c r="E13" s="151"/>
      <c r="F13" s="151"/>
      <c r="G13" s="151"/>
      <c r="H13" s="152"/>
    </row>
    <row r="14" spans="1:18">
      <c r="A14" s="150"/>
      <c r="B14" s="151"/>
      <c r="C14" s="151"/>
      <c r="D14" s="151"/>
      <c r="E14" s="151"/>
      <c r="F14" s="151"/>
      <c r="G14" s="151"/>
      <c r="H14" s="152"/>
    </row>
    <row r="15" spans="1:18">
      <c r="A15" s="150"/>
      <c r="B15" s="151"/>
      <c r="C15" s="151"/>
      <c r="D15" s="151"/>
      <c r="E15" s="151"/>
      <c r="F15" s="151"/>
      <c r="G15" s="151"/>
      <c r="H15" s="152"/>
    </row>
    <row r="16" spans="1:18">
      <c r="A16" s="150"/>
      <c r="B16" s="151"/>
      <c r="C16" s="151"/>
      <c r="D16" s="151"/>
      <c r="E16" s="151"/>
      <c r="F16" s="151"/>
      <c r="G16" s="151"/>
      <c r="H16" s="152"/>
    </row>
    <row r="17" spans="1:8">
      <c r="A17" s="150"/>
      <c r="B17" s="151"/>
      <c r="C17" s="151"/>
      <c r="D17" s="151"/>
      <c r="E17" s="151"/>
      <c r="F17" s="151"/>
      <c r="G17" s="151"/>
      <c r="H17" s="152"/>
    </row>
    <row r="18" spans="1:8">
      <c r="A18" s="150"/>
      <c r="B18" s="151"/>
      <c r="C18" s="151"/>
      <c r="D18" s="151"/>
      <c r="E18" s="151"/>
      <c r="F18" s="151"/>
      <c r="G18" s="151"/>
      <c r="H18" s="152"/>
    </row>
    <row r="19" spans="1:8">
      <c r="A19" s="150"/>
      <c r="B19" s="151"/>
      <c r="C19" s="151"/>
      <c r="D19" s="151"/>
      <c r="E19" s="151"/>
      <c r="F19" s="151"/>
      <c r="G19" s="151"/>
      <c r="H19" s="152"/>
    </row>
    <row r="20" spans="1:8">
      <c r="A20" s="150"/>
      <c r="B20" s="151"/>
      <c r="C20" s="151"/>
      <c r="D20" s="151"/>
      <c r="E20" s="151"/>
      <c r="F20" s="151"/>
      <c r="G20" s="151"/>
      <c r="H20" s="152"/>
    </row>
    <row r="21" spans="1:8">
      <c r="A21" s="150"/>
      <c r="B21" s="151"/>
      <c r="C21" s="151"/>
      <c r="D21" s="151"/>
      <c r="E21" s="151"/>
      <c r="F21" s="151"/>
      <c r="G21" s="151"/>
      <c r="H21" s="152"/>
    </row>
    <row r="22" spans="1:8">
      <c r="A22" s="150"/>
      <c r="B22" s="151"/>
      <c r="C22" s="151"/>
      <c r="D22" s="151"/>
      <c r="E22" s="151"/>
      <c r="F22" s="151"/>
      <c r="G22" s="151"/>
      <c r="H22" s="152"/>
    </row>
    <row r="23" spans="1:8">
      <c r="A23" s="150"/>
      <c r="B23" s="151"/>
      <c r="C23" s="151"/>
      <c r="D23" s="151"/>
      <c r="E23" s="151"/>
      <c r="F23" s="151"/>
      <c r="G23" s="151"/>
      <c r="H23" s="152"/>
    </row>
    <row r="24" spans="1:8">
      <c r="A24" s="150"/>
      <c r="B24" s="151"/>
      <c r="C24" s="151"/>
      <c r="D24" s="151"/>
      <c r="E24" s="151"/>
      <c r="F24" s="151"/>
      <c r="G24" s="151"/>
      <c r="H24" s="152"/>
    </row>
    <row r="25" spans="1:8">
      <c r="A25" s="150"/>
      <c r="B25" s="151"/>
      <c r="C25" s="151"/>
      <c r="D25" s="151"/>
      <c r="E25" s="151"/>
      <c r="F25" s="151"/>
      <c r="G25" s="151"/>
      <c r="H25" s="152"/>
    </row>
    <row r="26" spans="1:8">
      <c r="A26" s="150"/>
      <c r="B26" s="151"/>
      <c r="C26" s="151"/>
      <c r="D26" s="151"/>
      <c r="E26" s="151"/>
      <c r="F26" s="151"/>
      <c r="G26" s="151"/>
      <c r="H26" s="152"/>
    </row>
    <row r="27" spans="1:8">
      <c r="A27" s="150"/>
      <c r="B27" s="151"/>
      <c r="C27" s="151"/>
      <c r="D27" s="151"/>
      <c r="E27" s="151"/>
      <c r="F27" s="151"/>
      <c r="G27" s="151"/>
      <c r="H27" s="152"/>
    </row>
    <row r="28" spans="1:8">
      <c r="A28" s="153"/>
      <c r="B28" s="154"/>
      <c r="C28" s="154"/>
      <c r="D28" s="154"/>
      <c r="E28" s="154"/>
      <c r="F28" s="154"/>
      <c r="G28" s="154"/>
      <c r="H28" s="155"/>
    </row>
    <row r="29" spans="1:8">
      <c r="A29" s="170"/>
      <c r="B29" s="170"/>
      <c r="C29" s="170"/>
      <c r="D29" s="170"/>
      <c r="E29" s="170"/>
      <c r="F29" s="170"/>
      <c r="G29" s="170"/>
      <c r="H29" s="170"/>
    </row>
    <row r="30" spans="1:8" ht="14.25" customHeight="1">
      <c r="A30" s="30" t="s">
        <v>79</v>
      </c>
      <c r="B30" s="157" t="s">
        <v>80</v>
      </c>
      <c r="C30" s="158"/>
      <c r="D30" s="158"/>
      <c r="E30" s="158"/>
      <c r="F30" s="158"/>
      <c r="G30" s="158"/>
      <c r="H30" s="159"/>
    </row>
    <row r="31" spans="1:8">
      <c r="A31" s="89" t="s">
        <v>14</v>
      </c>
      <c r="B31" s="156">
        <f>'General Estimate'!A11</f>
        <v>0</v>
      </c>
      <c r="C31" s="156"/>
      <c r="D31" s="156"/>
      <c r="E31" s="156" t="s">
        <v>81</v>
      </c>
      <c r="F31" s="156"/>
      <c r="G31" s="156"/>
      <c r="H31" s="156"/>
    </row>
    <row r="32" spans="1:8">
      <c r="A32" s="47" t="s">
        <v>82</v>
      </c>
      <c r="B32" s="160">
        <f>'General Estimate'!A12</f>
        <v>0</v>
      </c>
      <c r="C32" s="161"/>
      <c r="D32" s="161"/>
      <c r="E32" s="161"/>
      <c r="F32" s="161"/>
      <c r="G32" s="161"/>
      <c r="H32" s="162"/>
    </row>
    <row r="33" spans="1:8">
      <c r="A33" s="46" t="s">
        <v>83</v>
      </c>
      <c r="B33" s="147">
        <f>'General Estimate'!A13</f>
        <v>0</v>
      </c>
      <c r="C33" s="148"/>
      <c r="D33" s="148"/>
      <c r="E33" s="148"/>
      <c r="F33" s="148"/>
      <c r="G33" s="148"/>
      <c r="H33" s="149"/>
    </row>
    <row r="34" spans="1:8" ht="12.75" customHeight="1">
      <c r="A34" s="46" t="s">
        <v>84</v>
      </c>
      <c r="B34" s="147">
        <f>'General Estimate'!A14</f>
        <v>0</v>
      </c>
      <c r="C34" s="148"/>
      <c r="D34" s="148"/>
      <c r="E34" s="148"/>
      <c r="F34" s="148"/>
      <c r="G34" s="148"/>
      <c r="H34" s="149"/>
    </row>
    <row r="35" spans="1:8">
      <c r="A35" s="46" t="s">
        <v>22</v>
      </c>
      <c r="B35" s="147">
        <f>'General Estimate'!A15</f>
        <v>0</v>
      </c>
      <c r="C35" s="148"/>
      <c r="D35" s="148"/>
      <c r="E35" s="148"/>
      <c r="F35" s="148"/>
      <c r="G35" s="148"/>
      <c r="H35" s="149"/>
    </row>
    <row r="36" spans="1:8">
      <c r="A36" s="46" t="s">
        <v>24</v>
      </c>
      <c r="B36" s="147">
        <f>'General Estimate'!A16</f>
        <v>0</v>
      </c>
      <c r="C36" s="148"/>
      <c r="D36" s="148"/>
      <c r="E36" s="148"/>
      <c r="F36" s="148"/>
      <c r="G36" s="148"/>
      <c r="H36" s="149"/>
    </row>
    <row r="37" spans="1:8">
      <c r="A37" s="46" t="s">
        <v>26</v>
      </c>
      <c r="B37" s="147">
        <f>'General Estimate'!A17</f>
        <v>0</v>
      </c>
      <c r="C37" s="148"/>
      <c r="D37" s="148"/>
      <c r="E37" s="148"/>
      <c r="F37" s="148"/>
      <c r="G37" s="148"/>
      <c r="H37" s="149"/>
    </row>
    <row r="38" spans="1:8">
      <c r="A38" s="46" t="s">
        <v>29</v>
      </c>
      <c r="B38" s="147">
        <f>'General Estimate'!A18</f>
        <v>0</v>
      </c>
      <c r="C38" s="148"/>
      <c r="D38" s="148"/>
      <c r="E38" s="148"/>
      <c r="F38" s="148"/>
      <c r="G38" s="148"/>
      <c r="H38" s="149"/>
    </row>
    <row r="39" spans="1:8">
      <c r="A39" s="46" t="s">
        <v>31</v>
      </c>
      <c r="B39" s="147">
        <f>'General Estimate'!A19</f>
        <v>0</v>
      </c>
      <c r="C39" s="148"/>
      <c r="D39" s="148"/>
      <c r="E39" s="148"/>
      <c r="F39" s="148"/>
      <c r="G39" s="148"/>
      <c r="H39" s="149"/>
    </row>
    <row r="40" spans="1:8">
      <c r="A40" s="46" t="s">
        <v>85</v>
      </c>
      <c r="B40" s="147">
        <f>'General Estimate'!A20</f>
        <v>0</v>
      </c>
      <c r="C40" s="148"/>
      <c r="D40" s="148"/>
      <c r="E40" s="148"/>
      <c r="F40" s="148"/>
      <c r="G40" s="148"/>
      <c r="H40" s="149"/>
    </row>
    <row r="41" spans="1:8">
      <c r="A41" s="46" t="s">
        <v>35</v>
      </c>
      <c r="B41" s="147">
        <f>'General Estimate'!A21</f>
        <v>0</v>
      </c>
      <c r="C41" s="148"/>
      <c r="D41" s="148"/>
      <c r="E41" s="148"/>
      <c r="F41" s="148"/>
      <c r="G41" s="148"/>
      <c r="H41" s="149"/>
    </row>
    <row r="43" spans="1:8">
      <c r="A43" s="46" t="s">
        <v>86</v>
      </c>
      <c r="B43" s="144">
        <f>'General Estimate'!A24-('General Estimate'!F23*'General Estimate'!B9)</f>
        <v>0</v>
      </c>
      <c r="C43" s="145"/>
      <c r="D43" s="145"/>
      <c r="E43" s="145"/>
      <c r="F43" s="145"/>
      <c r="G43" s="145"/>
      <c r="H43" s="146"/>
    </row>
    <row r="44" spans="1:8">
      <c r="A44" s="46" t="s">
        <v>87</v>
      </c>
      <c r="B44" s="144">
        <f>'General Estimate'!A25-('General Estimate'!F23*'General Estimate'!B9)</f>
        <v>0</v>
      </c>
      <c r="C44" s="145"/>
      <c r="D44" s="145"/>
      <c r="E44" s="145"/>
      <c r="F44" s="145"/>
      <c r="G44" s="145"/>
      <c r="H44" s="146"/>
    </row>
    <row r="45" spans="1:8">
      <c r="A45" s="46" t="s">
        <v>88</v>
      </c>
      <c r="B45" s="144">
        <f>'General Estimate'!A26-('General Estimate'!F23*'General Estimate'!B9)</f>
        <v>0</v>
      </c>
      <c r="C45" s="145"/>
      <c r="D45" s="145"/>
      <c r="E45" s="145"/>
      <c r="F45" s="145"/>
      <c r="G45" s="145"/>
      <c r="H45" s="146"/>
    </row>
    <row r="47" spans="1:8">
      <c r="A47" s="46" t="s">
        <v>89</v>
      </c>
      <c r="B47" s="144">
        <f>'General Estimate'!A24-('General Estimate'!D23*'General Estimate'!B9)</f>
        <v>0</v>
      </c>
      <c r="C47" s="145"/>
      <c r="D47" s="145"/>
      <c r="E47" s="145"/>
      <c r="F47" s="145"/>
      <c r="G47" s="145"/>
      <c r="H47" s="146"/>
    </row>
    <row r="48" spans="1:8">
      <c r="A48" s="46" t="s">
        <v>90</v>
      </c>
      <c r="B48" s="144">
        <f>'General Estimate'!A25-('General Estimate'!D23*'General Estimate'!B9)</f>
        <v>0</v>
      </c>
      <c r="C48" s="145"/>
      <c r="D48" s="145"/>
      <c r="E48" s="145"/>
      <c r="F48" s="145"/>
      <c r="G48" s="145"/>
      <c r="H48" s="146"/>
    </row>
    <row r="49" spans="1:8">
      <c r="A49" s="46" t="s">
        <v>91</v>
      </c>
      <c r="B49" s="144">
        <f>'General Estimate'!A26-('General Estimate'!D23*'General Estimate'!B9)</f>
        <v>0</v>
      </c>
      <c r="C49" s="145"/>
      <c r="D49" s="145"/>
      <c r="E49" s="145"/>
      <c r="F49" s="145"/>
      <c r="G49" s="145"/>
      <c r="H49" s="146"/>
    </row>
    <row r="51" spans="1:8">
      <c r="A51" s="141" t="s">
        <v>92</v>
      </c>
      <c r="B51" s="49"/>
      <c r="C51" s="50"/>
      <c r="D51" s="50"/>
      <c r="E51" s="50"/>
      <c r="F51" s="50"/>
      <c r="G51" s="50"/>
      <c r="H51" s="51"/>
    </row>
    <row r="52" spans="1:8">
      <c r="A52" s="142"/>
      <c r="B52" s="52"/>
      <c r="C52" s="48"/>
      <c r="D52" s="48"/>
      <c r="E52" s="48"/>
      <c r="F52" s="48"/>
      <c r="G52" s="48"/>
      <c r="H52" s="53"/>
    </row>
    <row r="53" spans="1:8">
      <c r="A53" s="142"/>
      <c r="B53" s="52"/>
      <c r="C53" s="48"/>
      <c r="D53" s="48"/>
      <c r="E53" s="48"/>
      <c r="F53" s="48"/>
      <c r="G53" s="48"/>
      <c r="H53" s="53"/>
    </row>
    <row r="54" spans="1:8">
      <c r="A54" s="142"/>
      <c r="B54" s="52"/>
      <c r="C54" s="48"/>
      <c r="D54" s="48"/>
      <c r="E54" s="48"/>
      <c r="F54" s="48"/>
      <c r="G54" s="48"/>
      <c r="H54" s="53"/>
    </row>
    <row r="55" spans="1:8">
      <c r="A55" s="143"/>
      <c r="B55" s="54"/>
      <c r="C55" s="55"/>
      <c r="D55" s="55"/>
      <c r="E55" s="55"/>
      <c r="F55" s="55"/>
      <c r="G55" s="55"/>
      <c r="H55" s="56"/>
    </row>
  </sheetData>
  <mergeCells count="39">
    <mergeCell ref="B5:E5"/>
    <mergeCell ref="G5:H5"/>
    <mergeCell ref="B2:H2"/>
    <mergeCell ref="I2:Q3"/>
    <mergeCell ref="B1:H1"/>
    <mergeCell ref="B30:H30"/>
    <mergeCell ref="B32:H32"/>
    <mergeCell ref="B8:E8"/>
    <mergeCell ref="G8:H8"/>
    <mergeCell ref="A9:H9"/>
    <mergeCell ref="A10:H10"/>
    <mergeCell ref="A29:H29"/>
    <mergeCell ref="B6:E6"/>
    <mergeCell ref="G6:H6"/>
    <mergeCell ref="B7:E7"/>
    <mergeCell ref="G7:H7"/>
    <mergeCell ref="B3:E3"/>
    <mergeCell ref="G3:H3"/>
    <mergeCell ref="B4:E4"/>
    <mergeCell ref="G4:H4"/>
    <mergeCell ref="B39:H39"/>
    <mergeCell ref="B43:H43"/>
    <mergeCell ref="B44:H44"/>
    <mergeCell ref="A11:H28"/>
    <mergeCell ref="B45:H45"/>
    <mergeCell ref="B33:H33"/>
    <mergeCell ref="B34:H34"/>
    <mergeCell ref="B35:H35"/>
    <mergeCell ref="B37:H37"/>
    <mergeCell ref="B38:H38"/>
    <mergeCell ref="B40:H40"/>
    <mergeCell ref="B36:H36"/>
    <mergeCell ref="B31:D31"/>
    <mergeCell ref="E31:H31"/>
    <mergeCell ref="A51:A55"/>
    <mergeCell ref="B47:H47"/>
    <mergeCell ref="B48:H48"/>
    <mergeCell ref="B49:H49"/>
    <mergeCell ref="B41:H41"/>
  </mergeCells>
  <pageMargins left="0.7" right="0.7" top="0.75" bottom="0.75" header="0.3" footer="0.3"/>
  <pageSetup paperSize="207" orientation="portrait" horizontalDpi="300" verticalDpi="300" r:id="rId1"/>
  <headerFooter>
    <oddHeader>&amp;C&amp;"-,Bold"&amp;18Job Specification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C76A6-4F20-4DA0-B65A-EF69D4A6BAA2}">
  <dimension ref="A1:T34"/>
  <sheetViews>
    <sheetView tabSelected="1" workbookViewId="0">
      <selection activeCell="C10" sqref="C10"/>
    </sheetView>
  </sheetViews>
  <sheetFormatPr defaultRowHeight="15"/>
  <cols>
    <col min="1" max="1" width="34.85546875" bestFit="1" customWidth="1"/>
    <col min="2" max="2" width="11.42578125" bestFit="1" customWidth="1"/>
    <col min="3" max="3" width="12" bestFit="1" customWidth="1"/>
    <col min="4" max="4" width="10.7109375" bestFit="1" customWidth="1"/>
    <col min="5" max="5" width="9.85546875" bestFit="1" customWidth="1"/>
    <col min="6" max="6" width="8.28515625" bestFit="1" customWidth="1"/>
    <col min="7" max="7" width="11.140625" bestFit="1" customWidth="1"/>
    <col min="8" max="8" width="8.7109375" bestFit="1" customWidth="1"/>
    <col min="9" max="9" width="9.5703125" bestFit="1" customWidth="1"/>
    <col min="10" max="10" width="8" bestFit="1" customWidth="1"/>
    <col min="11" max="11" width="6.28515625" bestFit="1" customWidth="1"/>
    <col min="12" max="12" width="10.7109375" customWidth="1"/>
    <col min="13" max="14" width="11.85546875" customWidth="1"/>
    <col min="15" max="15" width="7.7109375" bestFit="1" customWidth="1"/>
    <col min="16" max="16" width="6.140625" bestFit="1" customWidth="1"/>
    <col min="17" max="17" width="14.28515625" customWidth="1"/>
    <col min="18" max="18" width="5.5703125" bestFit="1" customWidth="1"/>
    <col min="19" max="19" width="6.28515625" bestFit="1" customWidth="1"/>
  </cols>
  <sheetData>
    <row r="1" spans="1:20">
      <c r="A1" s="93" t="s">
        <v>93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34"/>
    </row>
    <row r="2" spans="1:20">
      <c r="A2" s="35">
        <f>'General Estimate'!G2</f>
        <v>0</v>
      </c>
      <c r="B2" s="36" t="s">
        <v>94</v>
      </c>
      <c r="C2" s="36" t="s">
        <v>95</v>
      </c>
      <c r="D2" s="36" t="s">
        <v>96</v>
      </c>
      <c r="E2" s="36" t="s">
        <v>97</v>
      </c>
      <c r="F2" s="36" t="s">
        <v>37</v>
      </c>
      <c r="G2" s="36" t="s">
        <v>98</v>
      </c>
      <c r="H2" s="36" t="s">
        <v>99</v>
      </c>
      <c r="I2" s="36" t="s">
        <v>31</v>
      </c>
      <c r="J2" s="36" t="s">
        <v>100</v>
      </c>
      <c r="K2" s="36" t="s">
        <v>24</v>
      </c>
      <c r="L2" s="36" t="s">
        <v>101</v>
      </c>
      <c r="M2" s="36" t="s">
        <v>102</v>
      </c>
      <c r="N2" s="36" t="s">
        <v>22</v>
      </c>
      <c r="O2" s="36" t="s">
        <v>29</v>
      </c>
      <c r="P2" s="36" t="s">
        <v>82</v>
      </c>
      <c r="Q2" s="90" t="str">
        <f>'General Estimate'!B20</f>
        <v>Misc. Materials (Siloxane, Downspout, Etc.)</v>
      </c>
      <c r="R2" s="36" t="s">
        <v>103</v>
      </c>
      <c r="S2" s="36" t="s">
        <v>92</v>
      </c>
      <c r="T2" s="36"/>
    </row>
    <row r="3" spans="1:20">
      <c r="A3" s="38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8"/>
      <c r="S3" s="91"/>
      <c r="T3" s="91"/>
    </row>
    <row r="4" spans="1:20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91"/>
      <c r="T4" s="91"/>
    </row>
    <row r="5" spans="1:20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91"/>
      <c r="T5" s="91"/>
    </row>
    <row r="6" spans="1:20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91"/>
      <c r="T6" s="91"/>
    </row>
    <row r="7" spans="1:20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91"/>
      <c r="T7" s="91"/>
    </row>
    <row r="8" spans="1:20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91"/>
      <c r="T8" s="91"/>
    </row>
    <row r="9" spans="1:20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91"/>
      <c r="T9" s="91"/>
    </row>
    <row r="10" spans="1:20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91"/>
      <c r="T10" s="91"/>
    </row>
    <row r="11" spans="1:20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91"/>
      <c r="T11" s="91"/>
    </row>
    <row r="12" spans="1:20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91"/>
      <c r="T12" s="91"/>
    </row>
    <row r="13" spans="1:20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91"/>
      <c r="T13" s="91"/>
    </row>
    <row r="14" spans="1:20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91"/>
      <c r="T14" s="91"/>
    </row>
    <row r="15" spans="1:20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91"/>
      <c r="T15" s="91"/>
    </row>
    <row r="16" spans="1:20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91"/>
      <c r="T16" s="91"/>
    </row>
    <row r="17" spans="1:20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91"/>
      <c r="T17" s="91"/>
    </row>
    <row r="18" spans="1:20">
      <c r="A18" s="92" t="s">
        <v>104</v>
      </c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38"/>
    </row>
    <row r="19" spans="1:20">
      <c r="A19" s="34"/>
      <c r="B19" s="34"/>
      <c r="C19" s="34"/>
      <c r="D19" s="34"/>
      <c r="E19" s="34">
        <f>SUM(E2:E17)</f>
        <v>0</v>
      </c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181"/>
      <c r="T19" s="181"/>
    </row>
    <row r="20" spans="1:20">
      <c r="A20" s="34" t="s">
        <v>105</v>
      </c>
      <c r="B20" s="33">
        <f>SUM(B3:B17)</f>
        <v>0</v>
      </c>
      <c r="C20" s="33">
        <f>SUM(C3:C17)</f>
        <v>0</v>
      </c>
      <c r="D20" s="33">
        <f>SUM(D3:D17)</f>
        <v>0</v>
      </c>
      <c r="E20" s="40">
        <f>E19*25</f>
        <v>0</v>
      </c>
      <c r="F20" s="33">
        <f>SUM(F3:F17)</f>
        <v>0</v>
      </c>
      <c r="G20" s="33">
        <f>SUM(G3:G17)</f>
        <v>0</v>
      </c>
      <c r="H20" s="34">
        <f>SUM(H3:H17)</f>
        <v>0</v>
      </c>
      <c r="I20" s="34">
        <f>SUM(I3:I17)</f>
        <v>0</v>
      </c>
      <c r="J20" s="34">
        <f t="shared" ref="J20:Q20" si="0">SUM(J3:J17)</f>
        <v>0</v>
      </c>
      <c r="K20" s="34">
        <f t="shared" si="0"/>
        <v>0</v>
      </c>
      <c r="L20" s="34">
        <f t="shared" si="0"/>
        <v>0</v>
      </c>
      <c r="M20" s="34">
        <f t="shared" si="0"/>
        <v>0</v>
      </c>
      <c r="N20" s="34">
        <f t="shared" si="0"/>
        <v>0</v>
      </c>
      <c r="O20" s="34">
        <f t="shared" si="0"/>
        <v>0</v>
      </c>
      <c r="P20" s="34">
        <f t="shared" si="0"/>
        <v>0</v>
      </c>
      <c r="Q20" s="34">
        <f t="shared" si="0"/>
        <v>0</v>
      </c>
      <c r="R20" s="34"/>
      <c r="S20" s="181"/>
      <c r="T20" s="181"/>
    </row>
    <row r="21" spans="1:20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181"/>
      <c r="T21" s="181"/>
    </row>
    <row r="22" spans="1:20">
      <c r="A22" s="93" t="s">
        <v>106</v>
      </c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34"/>
    </row>
    <row r="23" spans="1:20">
      <c r="A23" s="36"/>
      <c r="B23" s="36" t="str">
        <f>B2</f>
        <v>Labor Hours</v>
      </c>
      <c r="C23" s="36" t="str">
        <f t="shared" ref="C23:P23" si="1">C2</f>
        <v>Travel Hours</v>
      </c>
      <c r="D23" s="36" t="str">
        <f t="shared" si="1"/>
        <v>Load Hours</v>
      </c>
      <c r="E23" s="36" t="str">
        <f t="shared" si="1"/>
        <v>OS Hours</v>
      </c>
      <c r="F23" s="36" t="str">
        <f t="shared" si="1"/>
        <v>Mileage</v>
      </c>
      <c r="G23" s="36" t="str">
        <f t="shared" si="1"/>
        <v>OS Mileage</v>
      </c>
      <c r="H23" s="36" t="str">
        <f t="shared" si="1"/>
        <v>Top Coat</v>
      </c>
      <c r="I23" s="36" t="str">
        <f t="shared" si="1"/>
        <v>Fasteners</v>
      </c>
      <c r="J23" s="36" t="str">
        <f t="shared" si="1"/>
        <v>Brushes</v>
      </c>
      <c r="K23" s="36" t="str">
        <f t="shared" si="1"/>
        <v>Fabric</v>
      </c>
      <c r="L23" s="36" t="str">
        <f t="shared" si="1"/>
        <v>Dow Caulk</v>
      </c>
      <c r="M23" s="36" t="str">
        <f t="shared" si="1"/>
        <v>Aldo Caulk</v>
      </c>
      <c r="N23" s="36" t="str">
        <f t="shared" si="1"/>
        <v>Granules</v>
      </c>
      <c r="O23" s="36" t="str">
        <f t="shared" si="1"/>
        <v>Solvent</v>
      </c>
      <c r="P23" s="36" t="str">
        <f t="shared" si="1"/>
        <v>SF</v>
      </c>
      <c r="Q23" s="90" t="str">
        <f t="shared" ref="Q23" si="2">Q2</f>
        <v>Misc. Materials (Siloxane, Downspout, Etc.)</v>
      </c>
      <c r="R23" s="36"/>
      <c r="S23" s="36"/>
      <c r="T23" s="34"/>
    </row>
    <row r="24" spans="1:20">
      <c r="A24" s="34"/>
      <c r="B24" s="34">
        <f>SUM('Job Spec'!B43:H45)</f>
        <v>0</v>
      </c>
      <c r="C24" s="34">
        <f>SUM('Job Spec'!B47:H49)</f>
        <v>0</v>
      </c>
      <c r="D24" s="34"/>
      <c r="E24" s="40">
        <f>'General Estimate'!I33</f>
        <v>0</v>
      </c>
      <c r="F24" s="34">
        <f>'General Estimate'!A22</f>
        <v>0</v>
      </c>
      <c r="G24" s="34"/>
      <c r="H24" s="34">
        <f>'General Estimate'!A11</f>
        <v>0</v>
      </c>
      <c r="I24" s="34">
        <f>'General Estimate'!A19</f>
        <v>0</v>
      </c>
      <c r="J24" s="34">
        <f>'General Estimate'!A17</f>
        <v>0</v>
      </c>
      <c r="K24" s="34">
        <f>'General Estimate'!A16</f>
        <v>0</v>
      </c>
      <c r="L24" s="34">
        <f>'General Estimate'!A13</f>
        <v>0</v>
      </c>
      <c r="M24" s="34">
        <f>'General Estimate'!A14</f>
        <v>0</v>
      </c>
      <c r="N24" s="34">
        <f>'General Estimate'!A15</f>
        <v>0</v>
      </c>
      <c r="O24" s="34">
        <f>'General Estimate'!A18</f>
        <v>0</v>
      </c>
      <c r="P24" s="34">
        <f>'General Estimate'!A12</f>
        <v>0</v>
      </c>
      <c r="Q24" s="34">
        <f>'General Estimate'!A20</f>
        <v>0</v>
      </c>
      <c r="R24" s="34"/>
      <c r="S24" s="181"/>
      <c r="T24" s="181"/>
    </row>
    <row r="25" spans="1:20">
      <c r="A25" s="93" t="s">
        <v>107</v>
      </c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34"/>
    </row>
    <row r="26" spans="1:20">
      <c r="A26" s="36"/>
      <c r="B26" s="36" t="str">
        <f>B2</f>
        <v>Labor Hours</v>
      </c>
      <c r="C26" s="36" t="str">
        <f t="shared" ref="C26:P26" si="3">C2</f>
        <v>Travel Hours</v>
      </c>
      <c r="D26" s="36" t="str">
        <f t="shared" si="3"/>
        <v>Load Hours</v>
      </c>
      <c r="E26" s="36" t="str">
        <f t="shared" si="3"/>
        <v>OS Hours</v>
      </c>
      <c r="F26" s="36" t="str">
        <f t="shared" si="3"/>
        <v>Mileage</v>
      </c>
      <c r="G26" s="36" t="str">
        <f t="shared" si="3"/>
        <v>OS Mileage</v>
      </c>
      <c r="H26" s="36" t="str">
        <f t="shared" si="3"/>
        <v>Top Coat</v>
      </c>
      <c r="I26" s="36" t="str">
        <f t="shared" si="3"/>
        <v>Fasteners</v>
      </c>
      <c r="J26" s="36" t="str">
        <f t="shared" si="3"/>
        <v>Brushes</v>
      </c>
      <c r="K26" s="36" t="str">
        <f t="shared" si="3"/>
        <v>Fabric</v>
      </c>
      <c r="L26" s="36" t="str">
        <f t="shared" si="3"/>
        <v>Dow Caulk</v>
      </c>
      <c r="M26" s="36" t="str">
        <f t="shared" si="3"/>
        <v>Aldo Caulk</v>
      </c>
      <c r="N26" s="36" t="str">
        <f t="shared" si="3"/>
        <v>Granules</v>
      </c>
      <c r="O26" s="36" t="str">
        <f t="shared" si="3"/>
        <v>Solvent</v>
      </c>
      <c r="P26" s="36" t="str">
        <f t="shared" si="3"/>
        <v>SF</v>
      </c>
      <c r="Q26" s="90" t="str">
        <f t="shared" ref="Q26" si="4">Q2</f>
        <v>Misc. Materials (Siloxane, Downspout, Etc.)</v>
      </c>
      <c r="R26" s="36"/>
      <c r="S26" s="36"/>
      <c r="T26" s="37"/>
    </row>
    <row r="27" spans="1:20">
      <c r="A27" s="34"/>
      <c r="B27" s="41">
        <f>B24-B20</f>
        <v>0</v>
      </c>
      <c r="C27" s="41">
        <f t="shared" ref="C27:P27" si="5">C24-C20</f>
        <v>0</v>
      </c>
      <c r="D27" s="41">
        <f t="shared" si="5"/>
        <v>0</v>
      </c>
      <c r="E27" s="41">
        <f t="shared" si="5"/>
        <v>0</v>
      </c>
      <c r="F27" s="41">
        <f t="shared" si="5"/>
        <v>0</v>
      </c>
      <c r="G27" s="41">
        <f t="shared" si="5"/>
        <v>0</v>
      </c>
      <c r="H27" s="41">
        <f t="shared" si="5"/>
        <v>0</v>
      </c>
      <c r="I27" s="41">
        <f t="shared" si="5"/>
        <v>0</v>
      </c>
      <c r="J27" s="41">
        <f t="shared" si="5"/>
        <v>0</v>
      </c>
      <c r="K27" s="41">
        <f t="shared" si="5"/>
        <v>0</v>
      </c>
      <c r="L27" s="41">
        <f t="shared" si="5"/>
        <v>0</v>
      </c>
      <c r="M27" s="41">
        <f t="shared" si="5"/>
        <v>0</v>
      </c>
      <c r="N27" s="41">
        <f t="shared" si="5"/>
        <v>0</v>
      </c>
      <c r="O27" s="41">
        <f t="shared" si="5"/>
        <v>0</v>
      </c>
      <c r="P27" s="41">
        <f t="shared" si="5"/>
        <v>0</v>
      </c>
      <c r="Q27" s="41">
        <f t="shared" ref="Q27" si="6">Q24-Q20</f>
        <v>0</v>
      </c>
      <c r="R27" s="34"/>
      <c r="S27" s="181"/>
      <c r="T27" s="181"/>
    </row>
    <row r="28" spans="1:20">
      <c r="A28" s="34"/>
      <c r="B28" s="42" t="e">
        <f>B20/B24</f>
        <v>#DIV/0!</v>
      </c>
      <c r="C28" s="42" t="e">
        <f t="shared" ref="C28:P28" si="7">C20/C24</f>
        <v>#DIV/0!</v>
      </c>
      <c r="D28" s="42" t="e">
        <f t="shared" si="7"/>
        <v>#DIV/0!</v>
      </c>
      <c r="E28" s="42" t="e">
        <f t="shared" si="7"/>
        <v>#DIV/0!</v>
      </c>
      <c r="F28" s="42" t="e">
        <f t="shared" si="7"/>
        <v>#DIV/0!</v>
      </c>
      <c r="G28" s="42" t="e">
        <f t="shared" si="7"/>
        <v>#DIV/0!</v>
      </c>
      <c r="H28" s="42" t="e">
        <f t="shared" si="7"/>
        <v>#DIV/0!</v>
      </c>
      <c r="I28" s="42" t="e">
        <f t="shared" si="7"/>
        <v>#DIV/0!</v>
      </c>
      <c r="J28" s="42" t="e">
        <f t="shared" si="7"/>
        <v>#DIV/0!</v>
      </c>
      <c r="K28" s="42" t="e">
        <f t="shared" si="7"/>
        <v>#DIV/0!</v>
      </c>
      <c r="L28" s="42" t="e">
        <f t="shared" si="7"/>
        <v>#DIV/0!</v>
      </c>
      <c r="M28" s="42" t="e">
        <f t="shared" si="7"/>
        <v>#DIV/0!</v>
      </c>
      <c r="N28" s="42" t="e">
        <f t="shared" si="7"/>
        <v>#DIV/0!</v>
      </c>
      <c r="O28" s="42" t="e">
        <f t="shared" si="7"/>
        <v>#DIV/0!</v>
      </c>
      <c r="P28" s="42" t="e">
        <f t="shared" si="7"/>
        <v>#DIV/0!</v>
      </c>
      <c r="Q28" s="42" t="e">
        <f t="shared" ref="Q28" si="8">Q20/Q24</f>
        <v>#DIV/0!</v>
      </c>
      <c r="R28" s="34"/>
      <c r="S28" s="181"/>
      <c r="T28" s="181"/>
    </row>
    <row r="29" spans="1:20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181"/>
      <c r="T29" s="181"/>
    </row>
    <row r="30" spans="1:20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181"/>
      <c r="T30" s="181"/>
    </row>
    <row r="31" spans="1:20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181"/>
      <c r="T31" s="181"/>
    </row>
    <row r="32" spans="1:20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181"/>
      <c r="T32" s="181"/>
    </row>
    <row r="33" spans="1:20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181"/>
      <c r="T33" s="181"/>
    </row>
    <row r="34" spans="1:20">
      <c r="A34" s="34"/>
      <c r="B34" s="34"/>
      <c r="C34" s="34"/>
      <c r="D34" s="34"/>
      <c r="E34" s="34"/>
      <c r="F34" s="34"/>
      <c r="G34" s="34"/>
      <c r="H34" s="34"/>
      <c r="I34" s="34"/>
      <c r="J34" s="43"/>
      <c r="K34" s="43"/>
      <c r="L34" s="34"/>
      <c r="M34" s="34"/>
      <c r="N34" s="34"/>
      <c r="O34" s="34"/>
      <c r="P34" s="34"/>
      <c r="Q34" s="34"/>
      <c r="R34" s="34"/>
      <c r="S34" s="181"/>
      <c r="T34" s="181"/>
    </row>
  </sheetData>
  <mergeCells count="31">
    <mergeCell ref="S13:T13"/>
    <mergeCell ref="A1:S1"/>
    <mergeCell ref="S3:T3"/>
    <mergeCell ref="S4:T4"/>
    <mergeCell ref="S5:T5"/>
    <mergeCell ref="S6:T6"/>
    <mergeCell ref="S7:T7"/>
    <mergeCell ref="S8:T8"/>
    <mergeCell ref="S9:T9"/>
    <mergeCell ref="S10:T10"/>
    <mergeCell ref="S11:T11"/>
    <mergeCell ref="S12:T12"/>
    <mergeCell ref="S27:T27"/>
    <mergeCell ref="S14:T14"/>
    <mergeCell ref="S15:T15"/>
    <mergeCell ref="S16:T16"/>
    <mergeCell ref="S17:T17"/>
    <mergeCell ref="A18:S18"/>
    <mergeCell ref="S19:T19"/>
    <mergeCell ref="S20:T20"/>
    <mergeCell ref="S21:T21"/>
    <mergeCell ref="A22:S22"/>
    <mergeCell ref="S24:T24"/>
    <mergeCell ref="A25:S25"/>
    <mergeCell ref="S34:T34"/>
    <mergeCell ref="S28:T28"/>
    <mergeCell ref="S29:T29"/>
    <mergeCell ref="S30:T30"/>
    <mergeCell ref="S31:T31"/>
    <mergeCell ref="S32:T32"/>
    <mergeCell ref="S33:T33"/>
  </mergeCells>
  <conditionalFormatting sqref="B27:Q27">
    <cfRule type="expression" dxfId="0" priority="1">
      <formula>(B28)&gt;100%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848B5F9CDFEC4283105E2A17FECE0B" ma:contentTypeVersion="1796" ma:contentTypeDescription="Create a new document." ma:contentTypeScope="" ma:versionID="b05b4c246bda5ce640b97ab58164c8be">
  <xsd:schema xmlns:xsd="http://www.w3.org/2001/XMLSchema" xmlns:xs="http://www.w3.org/2001/XMLSchema" xmlns:p="http://schemas.microsoft.com/office/2006/metadata/properties" xmlns:ns2="4b82818a-8f70-42ae-9188-0d4dcde29678" xmlns:ns3="75eb4e53-0b43-4e28-991f-5aee810537ea" xmlns:ns4="http://schemas.microsoft.com/sharepoint/v4" targetNamespace="http://schemas.microsoft.com/office/2006/metadata/properties" ma:root="true" ma:fieldsID="1466c2fa712e33e949eb0684358570b2" ns2:_="" ns3:_="" ns4:_="">
    <xsd:import namespace="4b82818a-8f70-42ae-9188-0d4dcde29678"/>
    <xsd:import namespace="75eb4e53-0b43-4e28-991f-5aee810537ea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Tags" minOccurs="0"/>
                <xsd:element ref="ns3:MediaServiceOCR" minOccurs="0"/>
                <xsd:element ref="ns3:_Flow_SignoffStatus" minOccurs="0"/>
                <xsd:element ref="ns3:MediaServiceAutoKeyPoints" minOccurs="0"/>
                <xsd:element ref="ns3:MediaServiceKeyPoints" minOccurs="0"/>
                <xsd:element ref="ns2:SharedWithUsers" minOccurs="0"/>
                <xsd:element ref="ns2:SharedWithDetails" minOccurs="0"/>
                <xsd:element ref="ns4:IconOverlay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LeadStatus" minOccurs="0"/>
                <xsd:element ref="ns3:DollarValue" minOccurs="0"/>
                <xsd:element ref="ns3:ClosedLostReason" minOccurs="0"/>
                <xsd:element ref="ns3:SourceofLead" minOccurs="0"/>
                <xsd:element ref="ns3:FolderCreatedDate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82818a-8f70-42ae-9188-0d4dcde2967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8" nillable="true" ma:displayName="Taxonomy Catch All Column" ma:hidden="true" ma:list="{02ae7828-dbf5-455c-a7a0-107ee2c25e36}" ma:internalName="TaxCatchAll" ma:showField="CatchAllData" ma:web="4b82818a-8f70-42ae-9188-0d4dcde296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eb4e53-0b43-4e28-991f-5aee810537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19" nillable="true" ma:displayName="Deal Owner" ma:format="Dropdown" ma:internalName="Sign_x002d_off_x0020_status">
      <xsd:simpleType>
        <xsd:restriction base="dms:Choice">
          <xsd:enumeration value="Aaron"/>
          <xsd:enumeration value="Anthony"/>
          <xsd:enumeration value="Randy"/>
          <xsd:enumeration value="Roger"/>
          <xsd:enumeration value="Quin"/>
          <xsd:enumeration value="Repairs"/>
        </xsd:restriction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bd9c94f7-4397-4ff7-b347-57b23b5775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eadStatus" ma:index="31" nillable="true" ma:displayName="Lead Status" ma:format="Dropdown" ma:internalName="LeadStatus">
      <xsd:simpleType>
        <xsd:restriction base="dms:Choice">
          <xsd:enumeration value="COLD "/>
          <xsd:enumeration value="WARM"/>
          <xsd:enumeration value="HOT"/>
        </xsd:restriction>
      </xsd:simpleType>
    </xsd:element>
    <xsd:element name="DollarValue" ma:index="32" nillable="true" ma:displayName="Dollar Value" ma:format="Dropdown" ma:internalName="DollarValue" ma:percentage="FALSE">
      <xsd:simpleType>
        <xsd:restriction base="dms:Number"/>
      </xsd:simpleType>
    </xsd:element>
    <xsd:element name="ClosedLostReason" ma:index="33" nillable="true" ma:displayName="Closed Lost Reason" ma:format="Dropdown" ma:internalName="ClosedLostReason">
      <xsd:simpleType>
        <xsd:restriction base="dms:Text">
          <xsd:maxLength value="255"/>
        </xsd:restriction>
      </xsd:simpleType>
    </xsd:element>
    <xsd:element name="SourceofLead" ma:index="34" nillable="true" ma:displayName="Source of Lead " ma:format="Dropdown" ma:internalName="SourceofLead">
      <xsd:simpleType>
        <xsd:restriction base="dms:Text">
          <xsd:maxLength value="255"/>
        </xsd:restriction>
      </xsd:simpleType>
    </xsd:element>
    <xsd:element name="FolderCreatedDate" ma:index="35" nillable="true" ma:displayName="Folder Created Date" ma:format="DateOnly" ma:internalName="FolderCreatedDate">
      <xsd:simpleType>
        <xsd:restriction base="dms:DateTime"/>
      </xsd:simpleType>
    </xsd:element>
    <xsd:element name="MediaServiceBillingMetadata" ma:index="3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4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82818a-8f70-42ae-9188-0d4dcde29678" xsi:nil="true"/>
    <lcf76f155ced4ddcb4097134ff3c332f xmlns="75eb4e53-0b43-4e28-991f-5aee810537ea">
      <Terms xmlns="http://schemas.microsoft.com/office/infopath/2007/PartnerControls"/>
    </lcf76f155ced4ddcb4097134ff3c332f>
    <_Flow_SignoffStatus xmlns="75eb4e53-0b43-4e28-991f-5aee810537ea" xsi:nil="true"/>
    <FolderCreatedDate xmlns="75eb4e53-0b43-4e28-991f-5aee810537ea" xsi:nil="true"/>
    <IconOverlay xmlns="http://schemas.microsoft.com/sharepoint/v4" xsi:nil="true"/>
    <ClosedLostReason xmlns="75eb4e53-0b43-4e28-991f-5aee810537ea" xsi:nil="true"/>
    <LeadStatus xmlns="75eb4e53-0b43-4e28-991f-5aee810537ea" xsi:nil="true"/>
    <SourceofLead xmlns="75eb4e53-0b43-4e28-991f-5aee810537ea" xsi:nil="true"/>
    <DollarValue xmlns="75eb4e53-0b43-4e28-991f-5aee810537ea" xsi:nil="true"/>
    <_dlc_DocId xmlns="4b82818a-8f70-42ae-9188-0d4dcde29678">NJ25XDCPTP67-167323429-1082149</_dlc_DocId>
    <_dlc_DocIdUrl xmlns="4b82818a-8f70-42ae-9188-0d4dcde29678">
      <Url>https://aro365531128.sharepoint.com/sites/Data/_layouts/15/DocIdRedir.aspx?ID=NJ25XDCPTP67-167323429-1082149</Url>
      <Description>NJ25XDCPTP67-167323429-1082149</Description>
    </_dlc_DocIdUrl>
  </documentManagement>
</p:properties>
</file>

<file path=customXml/itemProps1.xml><?xml version="1.0" encoding="utf-8"?>
<ds:datastoreItem xmlns:ds="http://schemas.openxmlformats.org/officeDocument/2006/customXml" ds:itemID="{C0046C7E-6293-42E3-B92F-44FBE91DF8CC}"/>
</file>

<file path=customXml/itemProps2.xml><?xml version="1.0" encoding="utf-8"?>
<ds:datastoreItem xmlns:ds="http://schemas.openxmlformats.org/officeDocument/2006/customXml" ds:itemID="{E2B5F178-A7EC-450B-978B-AF579829F141}"/>
</file>

<file path=customXml/itemProps3.xml><?xml version="1.0" encoding="utf-8"?>
<ds:datastoreItem xmlns:ds="http://schemas.openxmlformats.org/officeDocument/2006/customXml" ds:itemID="{9FA7A105-D68B-464B-B6F2-6EFC8CE958E4}"/>
</file>

<file path=customXml/itemProps4.xml><?xml version="1.0" encoding="utf-8"?>
<ds:datastoreItem xmlns:ds="http://schemas.openxmlformats.org/officeDocument/2006/customXml" ds:itemID="{52BAE60F-4892-4659-9379-28F38955D0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dore</dc:creator>
  <cp:keywords/>
  <dc:description/>
  <cp:lastModifiedBy/>
  <cp:revision/>
  <dcterms:created xsi:type="dcterms:W3CDTF">2009-01-05T17:58:41Z</dcterms:created>
  <dcterms:modified xsi:type="dcterms:W3CDTF">2026-07-09T01:01:52Z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0x0101006E848B5F9CDFEC4283105E2A17FECE0B</vt:lpwstr>
  </property>
  <property fmtid="{D5CDD505-2E9C-101B-9397-08002B2CF9AE}" pid="3" name="Order">
    <vt:r8>135700</vt:r8>
  </property>
  <property fmtid="{D5CDD505-2E9C-101B-9397-08002B2CF9AE}" pid="4" name="_dlc_DocIdItemGuid">
    <vt:lpwstr>dd9c942b-6bdc-4655-b725-b00aaf4a8d2f</vt:lpwstr>
  </property>
  <property fmtid="{D5CDD505-2E9C-101B-9397-08002B2CF9AE}" pid="5" name="MediaServiceImageTags">
    <vt:lpwstr/>
  </property>
  <property fmtid="{D5CDD505-2E9C-101B-9397-08002B2CF9AE}" pid="6" name="xd_ProgID">
    <vt:lpwstr/>
  </property>
  <property fmtid="{D5CDD505-2E9C-101B-9397-08002B2CF9AE}" pid="7" name="_dlc_DocId">
    <vt:lpwstr>NJ25XDCPTP67-167323429-1076907</vt:lpwstr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_dlc_DocIdUrl">
    <vt:lpwstr>https://aro365531128.sharepoint.com/sites/Data/_layouts/15/DocIdRedir.aspx?ID=NJ25XDCPTP67-167323429-1076907, NJ25XDCPTP67-167323429-1076907</vt:lpwstr>
  </property>
  <property fmtid="{D5CDD505-2E9C-101B-9397-08002B2CF9AE}" pid="13" name="xd_Signature">
    <vt:bool>false</vt:bool>
  </property>
</Properties>
</file>