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Data/Documents/2025 ROOFING/CONTRACTED/Living Waters Chruch - 5425 Frankfort Road/"/>
    </mc:Choice>
  </mc:AlternateContent>
  <xr:revisionPtr revIDLastSave="0" documentId="8_{D5414F33-24BD-49D3-900B-0D34F5841A18}" xr6:coauthVersionLast="47" xr6:coauthVersionMax="47" xr10:uidLastSave="{00000000-0000-0000-0000-000000000000}"/>
  <bookViews>
    <workbookView xWindow="25080" yWindow="-105" windowWidth="25440" windowHeight="15270" xr2:uid="{00000000-000D-0000-FFFF-FFFF00000000}"/>
  </bookViews>
  <sheets>
    <sheet name="Estimate" sheetId="1" r:id="rId1"/>
    <sheet name="People" sheetId="3" r:id="rId2"/>
    <sheet name="Materials" sheetId="5" r:id="rId3"/>
    <sheet name="General" sheetId="8" r:id="rId4"/>
    <sheet name="Performance &amp; Payment Bonds" sheetId="9" r:id="rId5"/>
  </sheets>
  <externalReferences>
    <externalReference r:id="rId6"/>
  </externalReferences>
  <definedNames>
    <definedName name="Coating_Databas" localSheetId="4">[1]Estimate!#REF!</definedName>
    <definedName name="Coating_Databas">Estimate!#REF!</definedName>
    <definedName name="_xlnm.Print_Area">Estimate!$1:$10257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H99" i="1" l="1"/>
  <c r="G65" i="1" l="1"/>
  <c r="G63" i="1"/>
  <c r="B59" i="1"/>
  <c r="B60" i="1"/>
  <c r="B58" i="1"/>
  <c r="B20" i="1"/>
  <c r="B21" i="1"/>
  <c r="B27" i="1"/>
  <c r="B28" i="1"/>
  <c r="B26" i="1" l="1"/>
  <c r="H142" i="1" l="1"/>
  <c r="E154" i="1"/>
  <c r="B19" i="1"/>
  <c r="G69" i="1" l="1"/>
  <c r="H69" i="1" s="1"/>
  <c r="H74" i="1"/>
  <c r="H73" i="1"/>
  <c r="G26" i="1"/>
  <c r="H76" i="1"/>
  <c r="G27" i="1" l="1"/>
  <c r="G28" i="1"/>
  <c r="B74" i="1"/>
  <c r="B73" i="1"/>
  <c r="H59" i="1" l="1"/>
  <c r="H60" i="1"/>
  <c r="H58" i="1" l="1"/>
  <c r="F12" i="1"/>
  <c r="E12" i="1"/>
  <c r="D12" i="1"/>
  <c r="H137" i="1" l="1"/>
  <c r="H79" i="1"/>
  <c r="B69" i="1"/>
  <c r="D130" i="1" l="1"/>
  <c r="D128" i="1"/>
  <c r="J128" i="1" l="1"/>
  <c r="J124" i="1"/>
  <c r="B3" i="9"/>
  <c r="C3" i="9"/>
  <c r="D3" i="9"/>
  <c r="G130" i="1" l="1"/>
  <c r="G128" i="1"/>
  <c r="H128" i="1" s="1"/>
  <c r="H43" i="1" l="1"/>
  <c r="H88" i="1"/>
  <c r="B43" i="1"/>
  <c r="H96" i="1"/>
  <c r="H94" i="1"/>
  <c r="H92" i="1"/>
  <c r="H90" i="1"/>
  <c r="H84" i="1"/>
  <c r="H86" i="1" l="1"/>
  <c r="B45" i="1" l="1"/>
  <c r="H65" i="1"/>
  <c r="H63" i="1" l="1"/>
  <c r="H103" i="1"/>
  <c r="H101" i="1"/>
  <c r="H45" i="1" l="1"/>
  <c r="H28" i="1"/>
  <c r="G21" i="1"/>
  <c r="H21" i="1" s="1"/>
  <c r="D3" i="3" l="1"/>
  <c r="D12" i="3" s="1"/>
  <c r="H139" i="1"/>
  <c r="G134" i="1"/>
  <c r="H106" i="1"/>
  <c r="H108" i="1" l="1"/>
  <c r="D148" i="1"/>
  <c r="B36" i="1"/>
  <c r="B39" i="1"/>
  <c r="B33" i="1"/>
  <c r="H82" i="1"/>
  <c r="H27" i="1"/>
  <c r="H154" i="1"/>
  <c r="G20" i="1"/>
  <c r="H20" i="1" s="1"/>
  <c r="G19" i="1"/>
  <c r="G132" i="1"/>
  <c r="G126" i="1"/>
  <c r="G124" i="1"/>
  <c r="G122" i="1"/>
  <c r="G120" i="1"/>
  <c r="G118" i="1"/>
  <c r="G116" i="1"/>
  <c r="D132" i="1"/>
  <c r="D126" i="1"/>
  <c r="D124" i="1"/>
  <c r="D122" i="1"/>
  <c r="D120" i="1"/>
  <c r="D118" i="1"/>
  <c r="D116" i="1"/>
  <c r="K10" i="3"/>
  <c r="K9" i="3"/>
  <c r="J9" i="3"/>
  <c r="K8" i="3"/>
  <c r="J8" i="3"/>
  <c r="I8" i="3"/>
  <c r="K7" i="3"/>
  <c r="J7" i="3"/>
  <c r="I7" i="3"/>
  <c r="H7" i="3"/>
  <c r="K6" i="3"/>
  <c r="J6" i="3"/>
  <c r="I6" i="3"/>
  <c r="H6" i="3"/>
  <c r="G6" i="3"/>
  <c r="K5" i="3"/>
  <c r="J5" i="3"/>
  <c r="I5" i="3"/>
  <c r="H5" i="3"/>
  <c r="G5" i="3"/>
  <c r="F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E3" i="5"/>
  <c r="E2" i="5"/>
  <c r="G39" i="1"/>
  <c r="H145" i="1"/>
  <c r="H156" i="1"/>
  <c r="H158" i="1"/>
  <c r="B148" i="1" l="1"/>
  <c r="D184" i="1"/>
  <c r="H26" i="1"/>
  <c r="G33" i="1"/>
  <c r="H161" i="1"/>
  <c r="H39" i="1"/>
  <c r="E12" i="3"/>
  <c r="I12" i="3"/>
  <c r="F12" i="3"/>
  <c r="G12" i="3"/>
  <c r="J134" i="1" s="1"/>
  <c r="H134" i="1" s="1"/>
  <c r="K12" i="3"/>
  <c r="H12" i="3"/>
  <c r="J12" i="3"/>
  <c r="G36" i="1"/>
  <c r="H36" i="1" s="1"/>
  <c r="H19" i="1"/>
  <c r="H124" i="1"/>
  <c r="J132" i="1" l="1"/>
  <c r="H132" i="1" s="1"/>
  <c r="J130" i="1"/>
  <c r="H130" i="1" s="1"/>
  <c r="J118" i="1"/>
  <c r="H118" i="1" s="1"/>
  <c r="J126" i="1"/>
  <c r="H126" i="1" s="1"/>
  <c r="J116" i="1"/>
  <c r="H116" i="1" s="1"/>
  <c r="J122" i="1"/>
  <c r="H122" i="1" s="1"/>
  <c r="J120" i="1"/>
  <c r="H120" i="1" s="1"/>
  <c r="H33" i="1"/>
  <c r="H110" i="1" s="1"/>
  <c r="H148" i="1" l="1"/>
  <c r="H163" i="1" s="1"/>
  <c r="H111" i="1"/>
  <c r="H165" i="1" l="1"/>
  <c r="H167" i="1" s="1"/>
  <c r="H169" i="1" l="1"/>
  <c r="H170" i="1" l="1"/>
  <c r="B184" i="1" s="1"/>
</calcChain>
</file>

<file path=xl/sharedStrings.xml><?xml version="1.0" encoding="utf-8"?>
<sst xmlns="http://schemas.openxmlformats.org/spreadsheetml/2006/main" count="282" uniqueCount="210">
  <si>
    <t>Today's Date:</t>
  </si>
  <si>
    <t>Bill To Address:</t>
  </si>
  <si>
    <t>Job Name:</t>
  </si>
  <si>
    <t>Living Waters Church</t>
  </si>
  <si>
    <t>City, State, Zip:</t>
  </si>
  <si>
    <t>Job Type:</t>
  </si>
  <si>
    <t xml:space="preserve">Coated Foam Roof Restoration </t>
  </si>
  <si>
    <t>Contact:</t>
  </si>
  <si>
    <t>Site Address:</t>
  </si>
  <si>
    <t xml:space="preserve">5425 Frankfort Road </t>
  </si>
  <si>
    <t>Email Address:</t>
  </si>
  <si>
    <t>Shelbyville, KY 40065</t>
  </si>
  <si>
    <t>Phone:</t>
  </si>
  <si>
    <t xml:space="preserve">Fred Bates </t>
  </si>
  <si>
    <t>Fax:</t>
  </si>
  <si>
    <t>Title:</t>
  </si>
  <si>
    <t>Est. Square Feet:</t>
  </si>
  <si>
    <t>Materials</t>
  </si>
  <si>
    <t>*</t>
  </si>
  <si>
    <t>Type</t>
  </si>
  <si>
    <t>Sq. Ft.</t>
  </si>
  <si>
    <t>Unit Price</t>
  </si>
  <si>
    <t>Est. Units</t>
  </si>
  <si>
    <t>Est. Cost</t>
  </si>
  <si>
    <t>Foam</t>
  </si>
  <si>
    <t>Mfg:</t>
  </si>
  <si>
    <t>Gaco = 1, BASF = 2</t>
  </si>
  <si>
    <t>Types:</t>
  </si>
  <si>
    <t>Roof 2.7 = 1</t>
  </si>
  <si>
    <t>Thickness</t>
  </si>
  <si>
    <t>Yield</t>
  </si>
  <si>
    <t>Coating</t>
  </si>
  <si>
    <t>Gaco = 1, BASF = 2, AW = 3</t>
  </si>
  <si>
    <t>Silicone = 1,  Acrylic = 2, Urethane = 3, Aluminum = 4</t>
  </si>
  <si>
    <t>Gal/Sq.</t>
  </si>
  <si>
    <t xml:space="preserve">S2100 </t>
  </si>
  <si>
    <t>Margin %</t>
  </si>
  <si>
    <t>Thinner</t>
  </si>
  <si>
    <t>Naphtha VM&amp;P = 1, Mineral Spirits = 2, Xylene= 3</t>
  </si>
  <si>
    <t>Granules</t>
  </si>
  <si>
    <t>3M = 1, SESCO = 2</t>
  </si>
  <si>
    <t>Snow White</t>
  </si>
  <si>
    <t>Primer</t>
  </si>
  <si>
    <t>Gaco E-5320 = 1, Red Zinc Oxide = 2, Black Foam = 3</t>
  </si>
  <si>
    <t>Caulk/Sealant</t>
  </si>
  <si>
    <t>Silicone Tube = 1, Silicone Sausage = 2, Urethane Tube = 3</t>
  </si>
  <si>
    <t>Urethane Sausage = 4, Gaco SF-2000 = 5, Buttergrade = 6</t>
  </si>
  <si>
    <t>Linear Ft.</t>
  </si>
  <si>
    <t>Misc./Seams</t>
  </si>
  <si>
    <t>Units</t>
  </si>
  <si>
    <t>Penetrations</t>
  </si>
  <si>
    <t>HVAC Units</t>
  </si>
  <si>
    <t>Drains</t>
  </si>
  <si>
    <t>Board Stock</t>
  </si>
  <si>
    <t>ISO Board = 1, Wood Fiber = 2, Dens Deck = 3</t>
  </si>
  <si>
    <t>Type X Gyp Board = 4, Flute Filler = 5</t>
  </si>
  <si>
    <t>Price/Sq.</t>
  </si>
  <si>
    <t>Length</t>
  </si>
  <si>
    <t xml:space="preserve">Fasteners </t>
  </si>
  <si>
    <t>Plates</t>
  </si>
  <si>
    <t>Dumpsters</t>
  </si>
  <si>
    <t>20 Yard = 1, 30 Yard = 2, 40 Yard = 3</t>
  </si>
  <si>
    <t>Lift</t>
  </si>
  <si>
    <t xml:space="preserve">Forklift = 1, Boom = 2, Scissor = 3, Articulating = 4 </t>
  </si>
  <si>
    <t>Size</t>
  </si>
  <si>
    <t>Period</t>
  </si>
  <si>
    <t>20'</t>
  </si>
  <si>
    <t>Delivery Fee</t>
  </si>
  <si>
    <t>Width</t>
  </si>
  <si>
    <t>Fabric</t>
  </si>
  <si>
    <t>Edge Metal</t>
  </si>
  <si>
    <t>Gutter</t>
  </si>
  <si>
    <t>Downspouts</t>
  </si>
  <si>
    <t>Roof Hatch</t>
  </si>
  <si>
    <t>Scuppers</t>
  </si>
  <si>
    <t>Curbs</t>
  </si>
  <si>
    <t>Ladders</t>
  </si>
  <si>
    <t>Pitch Pockets</t>
  </si>
  <si>
    <t>Est. Days</t>
  </si>
  <si>
    <t>Generator</t>
  </si>
  <si>
    <t>Misc.</t>
  </si>
  <si>
    <t>Freight</t>
  </si>
  <si>
    <t>No. of Trips</t>
  </si>
  <si>
    <t>R.T. Miles</t>
  </si>
  <si>
    <t>Sales/Inspect.</t>
  </si>
  <si>
    <t>Truck Exp.</t>
  </si>
  <si>
    <t>.</t>
  </si>
  <si>
    <t>*****************</t>
  </si>
  <si>
    <t>Subtotal Materials</t>
  </si>
  <si>
    <t>Sales Tax %</t>
  </si>
  <si>
    <t>Labor / Subcontractor</t>
  </si>
  <si>
    <t>Days</t>
  </si>
  <si>
    <t>No. of People</t>
  </si>
  <si>
    <t>Total Hours</t>
  </si>
  <si>
    <t>Prevailing Wage</t>
  </si>
  <si>
    <t>Fringe</t>
  </si>
  <si>
    <t>Total Prevailing Wage</t>
  </si>
  <si>
    <t>Daily Rate</t>
  </si>
  <si>
    <t>Set Up/Safety</t>
  </si>
  <si>
    <t>PW/Prep</t>
  </si>
  <si>
    <t>Tear Off &amp; Foam</t>
  </si>
  <si>
    <t>Base `</t>
  </si>
  <si>
    <t>Caulk/SF</t>
  </si>
  <si>
    <t>Details</t>
  </si>
  <si>
    <t>Top Coat/Gran</t>
  </si>
  <si>
    <t>Touch/Clean Up</t>
  </si>
  <si>
    <t>Est. Hours / Day</t>
  </si>
  <si>
    <t>Est. Rate</t>
  </si>
  <si>
    <t>Loading</t>
  </si>
  <si>
    <t xml:space="preserve">Traveling </t>
  </si>
  <si>
    <t>Est. Hours</t>
  </si>
  <si>
    <t>Infrared Scan</t>
  </si>
  <si>
    <t>Meals, Lodging Expenses</t>
  </si>
  <si>
    <t>Total Days</t>
  </si>
  <si>
    <t>Subtotal Labor / Subcontractor</t>
  </si>
  <si>
    <t>Warranty, Bonding, and Insurance</t>
  </si>
  <si>
    <t>Manufacturer</t>
  </si>
  <si>
    <t>Years</t>
  </si>
  <si>
    <t>Unit Cost</t>
  </si>
  <si>
    <t>Warranty</t>
  </si>
  <si>
    <t>renew</t>
  </si>
  <si>
    <t>Miscellaneous Insurance</t>
  </si>
  <si>
    <t>Permits</t>
  </si>
  <si>
    <t>Describe:</t>
  </si>
  <si>
    <t>Subtotal Warranty, Bonding, Insurance</t>
  </si>
  <si>
    <t>Total Job Cost</t>
  </si>
  <si>
    <t>Estimated O/H</t>
  </si>
  <si>
    <t>Percentage:</t>
  </si>
  <si>
    <t>Profit</t>
  </si>
  <si>
    <t>Work Sheet Price</t>
  </si>
  <si>
    <t>Work Sheet Price + Additional Amount w/o Markup</t>
  </si>
  <si>
    <t xml:space="preserve">Misc. Materials </t>
  </si>
  <si>
    <t xml:space="preserve">Misc. Insurance </t>
  </si>
  <si>
    <t xml:space="preserve">Dumpster </t>
  </si>
  <si>
    <t xml:space="preserve">Lift </t>
  </si>
  <si>
    <t>Additional Amount w/o Markup</t>
  </si>
  <si>
    <t>Summary</t>
  </si>
  <si>
    <t>Price / Sq. Ft:</t>
  </si>
  <si>
    <t>Est. Sets:</t>
  </si>
  <si>
    <t>Crew Size</t>
  </si>
  <si>
    <t>Job Classification</t>
  </si>
  <si>
    <t>Hourly Wage</t>
  </si>
  <si>
    <t>Burden Rate</t>
  </si>
  <si>
    <t>Foreman / Sprayer</t>
  </si>
  <si>
    <t>Sprayer / Trailer</t>
  </si>
  <si>
    <t xml:space="preserve">Trailer / Hose </t>
  </si>
  <si>
    <t>Hose / Laborer</t>
  </si>
  <si>
    <t>Laborer</t>
  </si>
  <si>
    <t>Hours /Day</t>
  </si>
  <si>
    <t>Estimated Cost/Day</t>
  </si>
  <si>
    <t>Crew Leaders</t>
  </si>
  <si>
    <t>Hourly</t>
  </si>
  <si>
    <t>Travel</t>
  </si>
  <si>
    <t>Mariano Perez</t>
  </si>
  <si>
    <t>Carlos Garcia</t>
  </si>
  <si>
    <t>Abel Reyes</t>
  </si>
  <si>
    <t>Miguel Avila</t>
  </si>
  <si>
    <t>Workers</t>
  </si>
  <si>
    <t>Hugo</t>
  </si>
  <si>
    <t>Santos</t>
  </si>
  <si>
    <t>Erik Avila</t>
  </si>
  <si>
    <t>Michael</t>
  </si>
  <si>
    <t>Juan Loa</t>
  </si>
  <si>
    <t>Axel</t>
  </si>
  <si>
    <t>Gilberto Morales</t>
  </si>
  <si>
    <t>Melvin Lutin</t>
  </si>
  <si>
    <t>Ramiro</t>
  </si>
  <si>
    <t>Jesus</t>
  </si>
  <si>
    <t>Onilson Morales</t>
  </si>
  <si>
    <t>Frederico</t>
  </si>
  <si>
    <t>Pedro Morales</t>
  </si>
  <si>
    <t>TEMP Workers</t>
  </si>
  <si>
    <t>Nelvi</t>
  </si>
  <si>
    <t>Bryan</t>
  </si>
  <si>
    <t>Jose</t>
  </si>
  <si>
    <t>Maura</t>
  </si>
  <si>
    <t>David</t>
  </si>
  <si>
    <t>Felipe</t>
  </si>
  <si>
    <t>Solvents</t>
  </si>
  <si>
    <t>Cost</t>
  </si>
  <si>
    <t>Unit</t>
  </si>
  <si>
    <t>Per Gal</t>
  </si>
  <si>
    <t>VM&amp;P Natha</t>
  </si>
  <si>
    <t>Xylene</t>
  </si>
  <si>
    <t>4"</t>
  </si>
  <si>
    <t>6"</t>
  </si>
  <si>
    <t>9"</t>
  </si>
  <si>
    <t>12"</t>
  </si>
  <si>
    <t>18"</t>
  </si>
  <si>
    <t>36"</t>
  </si>
  <si>
    <t>48"</t>
  </si>
  <si>
    <t>Board</t>
  </si>
  <si>
    <t>Truckload</t>
  </si>
  <si>
    <t>Dens Deck</t>
  </si>
  <si>
    <t>0.25"</t>
  </si>
  <si>
    <t>Square</t>
  </si>
  <si>
    <t>Blackboard</t>
  </si>
  <si>
    <t>.5"</t>
  </si>
  <si>
    <t>Type X Gyp. Brd</t>
  </si>
  <si>
    <t>ISO board</t>
  </si>
  <si>
    <t>1"</t>
  </si>
  <si>
    <t>1.5"</t>
  </si>
  <si>
    <t>2"</t>
  </si>
  <si>
    <t>3"</t>
  </si>
  <si>
    <t>Fasteners</t>
  </si>
  <si>
    <t>Metal Screws</t>
  </si>
  <si>
    <t>&gt;8</t>
  </si>
  <si>
    <t>call for pricing</t>
  </si>
  <si>
    <t>Carlisle</t>
  </si>
  <si>
    <t>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</si>
</sst>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7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73">
    <xf numFmtId="0" fontId="0" fillId="0" borderId="0" xfId="0"/>
    <xf numFmtId="0" fontId="6" fillId="0" borderId="0" xfId="0" applyFont="1" applyAlignment="1">
      <alignment horizontal="center" wrapText="1"/>
    </xf>
    <xf numFmtId="0" fontId="0" fillId="0" borderId="2" xfId="0" applyBorder="1"/>
    <xf numFmtId="0" fontId="6" fillId="2" borderId="0" xfId="0" applyFont="1" applyFill="1"/>
    <xf numFmtId="165" fontId="0" fillId="0" borderId="0" xfId="0" applyNumberFormat="1"/>
    <xf numFmtId="0" fontId="6" fillId="0" borderId="0" xfId="0" applyFont="1" applyAlignment="1">
      <alignment horizontal="center"/>
    </xf>
    <xf numFmtId="8" fontId="0" fillId="0" borderId="0" xfId="0" applyNumberFormat="1"/>
    <xf numFmtId="0" fontId="2" fillId="0" borderId="0" xfId="0" applyFont="1" applyAlignment="1" applyProtection="1">
      <alignment horizontal="left" vertical="center"/>
      <protection locked="0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8" borderId="2" xfId="0" applyFill="1" applyBorder="1"/>
    <xf numFmtId="44" fontId="0" fillId="5" borderId="2" xfId="1" applyFont="1" applyFill="1" applyBorder="1"/>
    <xf numFmtId="0" fontId="0" fillId="5" borderId="2" xfId="0" applyFill="1" applyBorder="1"/>
    <xf numFmtId="0" fontId="7" fillId="0" borderId="0" xfId="1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7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4" fontId="0" fillId="2" borderId="0" xfId="0" applyNumberForma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Continuous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49" fontId="0" fillId="2" borderId="0" xfId="0" applyNumberForma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8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fill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7" fontId="3" fillId="4" borderId="0" xfId="0" applyNumberFormat="1" applyFont="1" applyFill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7" fontId="3" fillId="0" borderId="0" xfId="0" applyNumberFormat="1" applyFont="1" applyAlignment="1" applyProtection="1">
      <alignment horizontal="right" vertical="center"/>
      <protection locked="0"/>
    </xf>
    <xf numFmtId="4" fontId="3" fillId="0" borderId="0" xfId="0" applyNumberFormat="1" applyFont="1" applyAlignment="1" applyProtection="1">
      <alignment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2" fontId="3" fillId="2" borderId="8" xfId="0" applyNumberFormat="1" applyFont="1" applyFill="1" applyBorder="1" applyAlignment="1" applyProtection="1">
      <alignment horizontal="center" vertical="center"/>
      <protection locked="0"/>
    </xf>
    <xf numFmtId="7" fontId="3" fillId="2" borderId="8" xfId="0" applyNumberFormat="1" applyFont="1" applyFill="1" applyBorder="1" applyAlignment="1" applyProtection="1">
      <alignment horizontal="right" vertical="center"/>
      <protection locked="0"/>
    </xf>
    <xf numFmtId="0" fontId="3" fillId="5" borderId="0" xfId="0" applyFont="1" applyFill="1" applyAlignment="1" applyProtection="1">
      <alignment horizontal="right" vertical="center"/>
      <protection locked="0"/>
    </xf>
    <xf numFmtId="7" fontId="3" fillId="2" borderId="0" xfId="0" applyNumberFormat="1" applyFont="1" applyFill="1" applyAlignment="1" applyProtection="1">
      <alignment horizontal="right" vertical="center"/>
      <protection locked="0"/>
    </xf>
    <xf numFmtId="3" fontId="3" fillId="0" borderId="0" xfId="0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righ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0" fontId="0" fillId="2" borderId="7" xfId="0" applyFill="1" applyBorder="1" applyAlignment="1" applyProtection="1">
      <alignment horizontal="left" vertical="center"/>
      <protection locked="0"/>
    </xf>
    <xf numFmtId="3" fontId="3" fillId="0" borderId="0" xfId="0" applyNumberFormat="1" applyFont="1" applyAlignment="1" applyProtection="1">
      <alignment horizontal="right" vertical="center"/>
      <protection locked="0"/>
    </xf>
    <xf numFmtId="0" fontId="3" fillId="5" borderId="7" xfId="0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65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6" borderId="0" xfId="1" applyNumberFormat="1" applyFont="1" applyFill="1" applyBorder="1" applyAlignment="1" applyProtection="1">
      <alignment horizontal="right" vertical="center"/>
    </xf>
    <xf numFmtId="165" fontId="3" fillId="5" borderId="7" xfId="1" applyNumberFormat="1" applyFont="1" applyFill="1" applyBorder="1" applyAlignment="1" applyProtection="1">
      <alignment vertical="center"/>
      <protection locked="0"/>
    </xf>
    <xf numFmtId="165" fontId="3" fillId="2" borderId="0" xfId="1" applyNumberFormat="1" applyFont="1" applyFill="1" applyBorder="1" applyAlignment="1" applyProtection="1">
      <alignment horizontal="right" vertical="center"/>
      <protection locked="0"/>
    </xf>
    <xf numFmtId="165" fontId="3" fillId="6" borderId="0" xfId="1" applyNumberFormat="1" applyFont="1" applyFill="1" applyBorder="1" applyAlignment="1" applyProtection="1">
      <alignment vertical="center"/>
    </xf>
    <xf numFmtId="2" fontId="3" fillId="0" borderId="0" xfId="0" applyNumberFormat="1" applyFont="1" applyAlignment="1">
      <alignment vertical="center"/>
    </xf>
    <xf numFmtId="165" fontId="3" fillId="0" borderId="0" xfId="1" applyNumberFormat="1" applyFont="1" applyFill="1" applyBorder="1" applyAlignment="1" applyProtection="1">
      <alignment vertical="center"/>
    </xf>
    <xf numFmtId="44" fontId="3" fillId="0" borderId="0" xfId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4" fontId="3" fillId="2" borderId="7" xfId="0" applyNumberFormat="1" applyFont="1" applyFill="1" applyBorder="1" applyAlignment="1" applyProtection="1">
      <alignment horizontal="center" vertical="center"/>
      <protection locked="0"/>
    </xf>
    <xf numFmtId="165" fontId="3" fillId="5" borderId="0" xfId="1" applyNumberFormat="1" applyFont="1" applyFill="1" applyBorder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1" fontId="3" fillId="2" borderId="8" xfId="0" applyNumberFormat="1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1" fontId="3" fillId="2" borderId="8" xfId="0" applyNumberFormat="1" applyFont="1" applyFill="1" applyBorder="1" applyAlignment="1" applyProtection="1">
      <alignment horizontal="right" vertical="center"/>
      <protection locked="0"/>
    </xf>
    <xf numFmtId="165" fontId="3" fillId="2" borderId="0" xfId="0" applyNumberFormat="1" applyFont="1" applyFill="1" applyAlignment="1" applyProtection="1">
      <alignment horizontal="right" vertical="center"/>
      <protection locked="0"/>
    </xf>
    <xf numFmtId="5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44" fontId="0" fillId="5" borderId="1" xfId="1" applyFont="1" applyFill="1" applyBorder="1" applyAlignment="1">
      <alignment vertical="center"/>
    </xf>
    <xf numFmtId="44" fontId="3" fillId="5" borderId="5" xfId="1" applyFont="1" applyFill="1" applyBorder="1" applyAlignment="1" applyProtection="1">
      <alignment vertical="center"/>
      <protection locked="0"/>
    </xf>
    <xf numFmtId="44" fontId="0" fillId="0" borderId="0" xfId="1" applyFont="1" applyFill="1"/>
    <xf numFmtId="0" fontId="2" fillId="0" borderId="0" xfId="0" applyFont="1" applyAlignment="1" applyProtection="1">
      <alignment vertical="center"/>
      <protection locked="0"/>
    </xf>
    <xf numFmtId="9" fontId="12" fillId="5" borderId="0" xfId="2" applyFont="1" applyFill="1" applyBorder="1" applyAlignment="1" applyProtection="1">
      <alignment horizontal="right" vertical="center"/>
      <protection locked="0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44" fontId="3" fillId="5" borderId="1" xfId="1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3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0" applyNumberFormat="1"/>
    <xf numFmtId="0" fontId="0" fillId="0" borderId="0" xfId="0" applyAlignment="1">
      <alignment horizontal="right"/>
    </xf>
    <xf numFmtId="0" fontId="3" fillId="6" borderId="0" xfId="1" applyNumberFormat="1" applyFont="1" applyFill="1" applyBorder="1" applyAlignment="1" applyProtection="1">
      <alignment horizontal="center" vertical="center"/>
    </xf>
    <xf numFmtId="7" fontId="3" fillId="2" borderId="0" xfId="0" applyNumberFormat="1" applyFont="1" applyFill="1" applyAlignment="1" applyProtection="1">
      <alignment horizontal="center" vertical="center"/>
      <protection locked="0"/>
    </xf>
    <xf numFmtId="44" fontId="3" fillId="0" borderId="0" xfId="0" applyNumberFormat="1" applyFont="1" applyAlignment="1" applyProtection="1">
      <alignment horizontal="center" vertical="center"/>
      <protection locked="0"/>
    </xf>
    <xf numFmtId="1" fontId="3" fillId="6" borderId="0" xfId="0" applyNumberFormat="1" applyFont="1" applyFill="1" applyAlignment="1" applyProtection="1">
      <alignment horizontal="right" vertical="center"/>
      <protection locked="0"/>
    </xf>
    <xf numFmtId="0" fontId="0" fillId="5" borderId="9" xfId="0" applyFill="1" applyBorder="1"/>
    <xf numFmtId="0" fontId="0" fillId="5" borderId="0" xfId="0" applyFill="1"/>
    <xf numFmtId="0" fontId="2" fillId="0" borderId="0" xfId="0" applyFont="1"/>
    <xf numFmtId="0" fontId="3" fillId="5" borderId="9" xfId="0" applyFont="1" applyFill="1" applyBorder="1" applyAlignment="1" applyProtection="1">
      <alignment horizontal="right" vertical="center"/>
      <protection locked="0"/>
    </xf>
    <xf numFmtId="165" fontId="2" fillId="0" borderId="0" xfId="0" applyNumberFormat="1" applyFont="1" applyAlignment="1">
      <alignment horizontal="center"/>
    </xf>
    <xf numFmtId="165" fontId="0" fillId="9" borderId="0" xfId="0" applyNumberFormat="1" applyFill="1"/>
    <xf numFmtId="0" fontId="3" fillId="5" borderId="7" xfId="0" applyFont="1" applyFill="1" applyBorder="1" applyAlignment="1" applyProtection="1">
      <alignment vertical="center"/>
      <protection locked="0"/>
    </xf>
    <xf numFmtId="2" fontId="3" fillId="5" borderId="9" xfId="0" applyNumberFormat="1" applyFont="1" applyFill="1" applyBorder="1" applyAlignment="1" applyProtection="1">
      <alignment horizontal="center" vertical="center"/>
      <protection locked="0"/>
    </xf>
    <xf numFmtId="8" fontId="0" fillId="9" borderId="0" xfId="0" applyNumberFormat="1" applyFill="1"/>
    <xf numFmtId="0" fontId="3" fillId="5" borderId="0" xfId="0" applyFont="1" applyFill="1" applyAlignment="1">
      <alignment horizontal="right"/>
    </xf>
    <xf numFmtId="3" fontId="3" fillId="2" borderId="9" xfId="0" applyNumberFormat="1" applyFont="1" applyFill="1" applyBorder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2" fontId="3" fillId="0" borderId="0" xfId="0" applyNumberFormat="1" applyFont="1" applyAlignment="1">
      <alignment horizontal="right" vertical="center"/>
    </xf>
    <xf numFmtId="2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0" fillId="6" borderId="0" xfId="0" applyNumberFormat="1" applyFill="1"/>
    <xf numFmtId="3" fontId="0" fillId="2" borderId="0" xfId="0" applyNumberFormat="1" applyFill="1" applyAlignment="1" applyProtection="1">
      <alignment horizontal="center" vertical="center"/>
      <protection locked="0"/>
    </xf>
    <xf numFmtId="4" fontId="3" fillId="2" borderId="0" xfId="0" applyNumberFormat="1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165" fontId="3" fillId="2" borderId="9" xfId="0" applyNumberFormat="1" applyFont="1" applyFill="1" applyBorder="1" applyAlignment="1" applyProtection="1">
      <alignment horizontal="center" vertical="center"/>
      <protection locked="0"/>
    </xf>
    <xf numFmtId="165" fontId="3" fillId="5" borderId="0" xfId="0" applyNumberFormat="1" applyFont="1" applyFill="1" applyAlignment="1" applyProtection="1">
      <alignment horizontal="right" vertical="center"/>
      <protection locked="0"/>
    </xf>
    <xf numFmtId="165" fontId="3" fillId="5" borderId="0" xfId="0" applyNumberFormat="1" applyFont="1" applyFill="1" applyAlignment="1" applyProtection="1">
      <alignment vertical="center"/>
      <protection locked="0"/>
    </xf>
    <xf numFmtId="2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right"/>
      <protection locked="0"/>
    </xf>
    <xf numFmtId="3" fontId="3" fillId="5" borderId="0" xfId="3" applyNumberFormat="1" applyFont="1" applyFill="1" applyBorder="1" applyAlignment="1" applyProtection="1">
      <alignment horizontal="center" vertical="center"/>
      <protection locked="0"/>
    </xf>
    <xf numFmtId="3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3" fillId="5" borderId="9" xfId="0" applyNumberFormat="1" applyFont="1" applyFill="1" applyBorder="1" applyAlignment="1" applyProtection="1">
      <alignment vertical="center"/>
      <protection locked="0"/>
    </xf>
    <xf numFmtId="165" fontId="3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right" vertical="center"/>
      <protection locked="0"/>
    </xf>
    <xf numFmtId="44" fontId="15" fillId="0" borderId="0" xfId="1" applyFont="1" applyFill="1" applyBorder="1" applyAlignment="1" applyProtection="1">
      <alignment horizontal="right" vertical="center"/>
      <protection locked="0"/>
    </xf>
    <xf numFmtId="44" fontId="16" fillId="0" borderId="0" xfId="1" applyFont="1" applyFill="1" applyBorder="1" applyAlignment="1" applyProtection="1">
      <alignment horizontal="right" vertical="center"/>
      <protection locked="0"/>
    </xf>
    <xf numFmtId="3" fontId="2" fillId="0" borderId="0" xfId="3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1" fontId="3" fillId="5" borderId="8" xfId="0" applyNumberFormat="1" applyFont="1" applyFill="1" applyBorder="1" applyAlignment="1" applyProtection="1">
      <alignment horizontal="center" vertical="center"/>
      <protection locked="0"/>
    </xf>
    <xf numFmtId="165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7" fontId="3" fillId="5" borderId="0" xfId="0" applyNumberFormat="1" applyFont="1" applyFill="1" applyAlignment="1" applyProtection="1">
      <alignment horizontal="right" vertical="center"/>
      <protection locked="0"/>
    </xf>
    <xf numFmtId="1" fontId="3" fillId="5" borderId="0" xfId="0" applyNumberFormat="1" applyFont="1" applyFill="1" applyAlignment="1" applyProtection="1">
      <alignment horizontal="right" vertical="center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44" fontId="0" fillId="5" borderId="0" xfId="1" applyFont="1" applyFill="1" applyBorder="1" applyAlignment="1">
      <alignment vertical="center"/>
    </xf>
    <xf numFmtId="166" fontId="3" fillId="5" borderId="0" xfId="0" applyNumberFormat="1" applyFont="1" applyFill="1" applyAlignment="1" applyProtection="1">
      <alignment horizontal="right" vertical="center"/>
      <protection locked="0"/>
    </xf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44" fontId="17" fillId="0" borderId="0" xfId="1" applyFont="1"/>
    <xf numFmtId="0" fontId="1" fillId="0" borderId="0" xfId="0" applyFont="1"/>
    <xf numFmtId="0" fontId="2" fillId="0" borderId="1" xfId="0" applyFont="1" applyBorder="1" applyAlignment="1" applyProtection="1">
      <alignment horizontal="center" vertical="center"/>
      <protection locked="0"/>
    </xf>
    <xf numFmtId="2" fontId="3" fillId="5" borderId="0" xfId="0" applyNumberFormat="1" applyFont="1" applyFill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Continuous" vertical="center"/>
      <protection locked="0"/>
    </xf>
    <xf numFmtId="0" fontId="9" fillId="0" borderId="0" xfId="0" applyFont="1" applyAlignment="1" applyProtection="1">
      <alignment vertical="center"/>
      <protection locked="0"/>
    </xf>
    <xf numFmtId="4" fontId="9" fillId="0" borderId="0" xfId="0" applyNumberFormat="1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164" fontId="2" fillId="7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8" fontId="3" fillId="0" borderId="0" xfId="0" applyNumberFormat="1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7" borderId="4" xfId="0" applyFont="1" applyFill="1" applyBorder="1" applyAlignment="1">
      <alignment horizontal="center" vertical="distributed"/>
    </xf>
    <xf numFmtId="0" fontId="2" fillId="7" borderId="5" xfId="0" applyFont="1" applyFill="1" applyBorder="1" applyAlignment="1">
      <alignment horizontal="center" vertical="distributed"/>
    </xf>
    <xf numFmtId="0" fontId="2" fillId="7" borderId="6" xfId="0" applyFont="1" applyFill="1" applyBorder="1" applyAlignment="1">
      <alignment horizontal="center" vertical="distributed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o365531128-my.sharepoint.com/Users/Sherrie.SPRAY-TEC/Desktop/Estimate%20Revised%2010.12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eople"/>
      <sheetName val="Equipment"/>
      <sheetName val="Materials"/>
      <sheetName val="Renta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showGridLines="0" tabSelected="1" zoomScaleNormal="100" workbookViewId="0">
      <selection activeCell="P26" sqref="P26"/>
    </sheetView>
  </sheetViews>
  <sheetFormatPr defaultColWidth="10" defaultRowHeight="12" customHeight="1"/>
  <cols>
    <col min="1" max="1" width="15.42578125" style="17" customWidth="1"/>
    <col min="2" max="2" width="15.7109375" style="17" customWidth="1"/>
    <col min="3" max="3" width="11.7109375" style="17" customWidth="1"/>
    <col min="4" max="4" width="10" style="17" customWidth="1"/>
    <col min="5" max="5" width="11.28515625" style="17" customWidth="1"/>
    <col min="6" max="6" width="15.140625" style="17" customWidth="1"/>
    <col min="7" max="7" width="10" style="17" customWidth="1"/>
    <col min="8" max="8" width="12.85546875" style="17" customWidth="1"/>
    <col min="9" max="9" width="9.5703125" style="17" customWidth="1"/>
    <col min="10" max="10" width="17.140625" style="17" hidden="1" customWidth="1"/>
    <col min="11" max="11" width="10" style="17"/>
    <col min="12" max="12" width="10.28515625" style="17" bestFit="1" customWidth="1"/>
    <col min="13" max="16384" width="10" style="17"/>
  </cols>
  <sheetData>
    <row r="1" spans="1:8" ht="12" customHeight="1">
      <c r="B1" s="7" t="s">
        <v>0</v>
      </c>
      <c r="C1" s="20">
        <v>45951</v>
      </c>
      <c r="D1" s="21"/>
      <c r="E1" s="22"/>
      <c r="F1" s="7" t="s">
        <v>1</v>
      </c>
      <c r="G1" s="169"/>
      <c r="H1" s="169"/>
    </row>
    <row r="2" spans="1:8" ht="12" customHeight="1">
      <c r="B2" s="7" t="s">
        <v>2</v>
      </c>
      <c r="C2" s="24" t="s">
        <v>3</v>
      </c>
      <c r="D2" s="21"/>
      <c r="E2" s="22"/>
      <c r="F2" s="7" t="s">
        <v>4</v>
      </c>
      <c r="G2" s="169"/>
      <c r="H2" s="169"/>
    </row>
    <row r="3" spans="1:8" ht="12" customHeight="1">
      <c r="B3" s="7" t="s">
        <v>5</v>
      </c>
      <c r="C3" s="24" t="s">
        <v>6</v>
      </c>
      <c r="D3" s="21"/>
      <c r="E3" s="22"/>
      <c r="F3" s="7" t="s">
        <v>7</v>
      </c>
      <c r="G3" s="169"/>
      <c r="H3" s="169"/>
    </row>
    <row r="4" spans="1:8" ht="12" customHeight="1">
      <c r="B4" s="7" t="s">
        <v>8</v>
      </c>
      <c r="C4" s="24" t="s">
        <v>9</v>
      </c>
      <c r="D4" s="21"/>
      <c r="E4" s="22"/>
      <c r="F4" s="7" t="s">
        <v>10</v>
      </c>
      <c r="G4" s="23"/>
      <c r="H4" s="23"/>
    </row>
    <row r="5" spans="1:8" ht="12" customHeight="1">
      <c r="B5" s="7" t="s">
        <v>4</v>
      </c>
      <c r="C5" s="24" t="s">
        <v>11</v>
      </c>
      <c r="D5" s="22"/>
      <c r="E5" s="22"/>
      <c r="F5" s="7" t="s">
        <v>12</v>
      </c>
      <c r="G5" s="23"/>
      <c r="H5" s="23"/>
    </row>
    <row r="6" spans="1:8" ht="12" customHeight="1">
      <c r="B6" s="7" t="s">
        <v>7</v>
      </c>
      <c r="C6" s="24" t="s">
        <v>13</v>
      </c>
      <c r="D6" s="21"/>
      <c r="E6" s="22"/>
      <c r="F6" s="7" t="s">
        <v>14</v>
      </c>
      <c r="G6" s="25"/>
      <c r="H6" s="25"/>
    </row>
    <row r="7" spans="1:8" ht="12" customHeight="1">
      <c r="B7" s="7" t="s">
        <v>15</v>
      </c>
      <c r="C7" s="26"/>
      <c r="D7" s="21"/>
      <c r="E7" s="22"/>
    </row>
    <row r="8" spans="1:8" ht="12" customHeight="1">
      <c r="B8" s="7" t="s">
        <v>10</v>
      </c>
      <c r="C8" s="27"/>
      <c r="D8" s="23"/>
      <c r="E8" s="22"/>
      <c r="F8" s="28"/>
    </row>
    <row r="9" spans="1:8" ht="12" customHeight="1">
      <c r="B9" s="7" t="s">
        <v>12</v>
      </c>
      <c r="C9" s="27"/>
      <c r="D9" s="21"/>
      <c r="E9" s="22"/>
      <c r="F9" s="29"/>
    </row>
    <row r="11" spans="1:8" ht="12" customHeight="1">
      <c r="A11" s="87" t="s">
        <v>16</v>
      </c>
      <c r="D11" s="39">
        <v>1.1000000000000001</v>
      </c>
      <c r="E11" s="39">
        <v>1.2</v>
      </c>
      <c r="F11" s="131">
        <v>1.3</v>
      </c>
    </row>
    <row r="12" spans="1:8" ht="12" customHeight="1">
      <c r="A12" s="87" t="s">
        <v>17</v>
      </c>
      <c r="C12" s="32">
        <v>11058</v>
      </c>
      <c r="D12" s="39">
        <f>C12*D11</f>
        <v>12163.800000000001</v>
      </c>
      <c r="E12" s="39">
        <f>C12*E11</f>
        <v>13269.6</v>
      </c>
      <c r="F12" s="39">
        <f>C12*F11</f>
        <v>14375.4</v>
      </c>
    </row>
    <row r="13" spans="1:8" ht="12" customHeight="1">
      <c r="A13" s="33" t="s">
        <v>18</v>
      </c>
      <c r="B13" s="33"/>
      <c r="C13" s="34"/>
      <c r="D13" s="34"/>
      <c r="E13" s="34"/>
      <c r="F13" s="34"/>
      <c r="G13" s="34"/>
      <c r="H13" s="34"/>
    </row>
    <row r="14" spans="1:8" ht="12" customHeight="1">
      <c r="B14" s="151" t="s">
        <v>19</v>
      </c>
      <c r="C14" s="151" t="s">
        <v>20</v>
      </c>
      <c r="D14" s="151"/>
      <c r="E14" s="151" t="s">
        <v>21</v>
      </c>
      <c r="F14" s="151"/>
      <c r="G14" s="151" t="s">
        <v>22</v>
      </c>
      <c r="H14" s="151" t="s">
        <v>23</v>
      </c>
    </row>
    <row r="15" spans="1:8" ht="12" customHeight="1">
      <c r="B15" s="91"/>
      <c r="C15" s="91"/>
      <c r="D15" s="91"/>
      <c r="E15" s="91"/>
      <c r="F15" s="91"/>
      <c r="G15" s="91"/>
      <c r="H15" s="91"/>
    </row>
    <row r="16" spans="1:8" ht="12" customHeight="1">
      <c r="A16" s="87" t="s">
        <v>24</v>
      </c>
      <c r="B16" s="91" t="s">
        <v>25</v>
      </c>
      <c r="C16" s="7" t="s">
        <v>26</v>
      </c>
      <c r="E16" s="40"/>
      <c r="F16" s="34"/>
      <c r="G16" s="38"/>
      <c r="H16" s="38"/>
    </row>
    <row r="17" spans="1:9" ht="12" customHeight="1">
      <c r="A17" s="87"/>
      <c r="B17" s="91" t="s">
        <v>27</v>
      </c>
      <c r="C17" s="7" t="s">
        <v>28</v>
      </c>
      <c r="E17" s="40"/>
      <c r="F17" s="34"/>
      <c r="G17" s="38"/>
      <c r="H17" s="38"/>
    </row>
    <row r="18" spans="1:9" ht="12" customHeight="1">
      <c r="D18" s="7" t="s">
        <v>29</v>
      </c>
      <c r="E18" s="30"/>
      <c r="F18" s="91" t="s">
        <v>30</v>
      </c>
      <c r="G18" s="41"/>
      <c r="H18" s="41"/>
    </row>
    <row r="19" spans="1:9" ht="12" customHeight="1">
      <c r="A19" s="35">
        <v>11</v>
      </c>
      <c r="B19" s="34" t="str">
        <f>IF(A19=11,"Gaco Roof 2.7",IF(A19=21,"BASF Roof 2.7",""))</f>
        <v>Gaco Roof 2.7</v>
      </c>
      <c r="C19" s="42">
        <v>865</v>
      </c>
      <c r="D19" s="43">
        <v>1.5</v>
      </c>
      <c r="E19" s="44">
        <v>2.25</v>
      </c>
      <c r="F19" s="45">
        <v>2600</v>
      </c>
      <c r="G19" s="38">
        <f>((C19/F19)*D19)*1000</f>
        <v>499.03846153846155</v>
      </c>
      <c r="H19" s="38">
        <f>E19*G19</f>
        <v>1122.8365384615386</v>
      </c>
    </row>
    <row r="20" spans="1:9" ht="12" customHeight="1">
      <c r="A20" s="35">
        <v>11</v>
      </c>
      <c r="B20" s="34" t="str">
        <f t="shared" ref="B20:B21" si="0">IF(A20=11,"Gaco Roof 2.7",IF(A20=21,"BASF Roof 2.7",""))</f>
        <v>Gaco Roof 2.7</v>
      </c>
      <c r="C20" s="42">
        <v>0</v>
      </c>
      <c r="D20" s="43">
        <v>1.25</v>
      </c>
      <c r="E20" s="44">
        <v>2.25</v>
      </c>
      <c r="F20" s="45">
        <v>2900</v>
      </c>
      <c r="G20" s="38">
        <f>((C20/F20)*D20)*1000</f>
        <v>0</v>
      </c>
      <c r="H20" s="38">
        <f>E20*G20</f>
        <v>0</v>
      </c>
    </row>
    <row r="21" spans="1:9" ht="12" customHeight="1">
      <c r="A21" s="35">
        <v>11</v>
      </c>
      <c r="B21" s="34" t="str">
        <f t="shared" si="0"/>
        <v>Gaco Roof 2.7</v>
      </c>
      <c r="C21" s="42">
        <v>0</v>
      </c>
      <c r="D21" s="43">
        <v>1.25</v>
      </c>
      <c r="E21" s="44">
        <v>2.25</v>
      </c>
      <c r="F21" s="45">
        <v>2900</v>
      </c>
      <c r="G21" s="38">
        <f>((C21/F21)*D21)*1000</f>
        <v>0</v>
      </c>
      <c r="H21" s="38">
        <f>E21*G21</f>
        <v>0</v>
      </c>
      <c r="I21" s="91"/>
    </row>
    <row r="22" spans="1:9" ht="12" customHeight="1">
      <c r="C22" s="39"/>
      <c r="D22" s="39"/>
    </row>
    <row r="23" spans="1:9" ht="12" customHeight="1">
      <c r="A23" s="87" t="s">
        <v>31</v>
      </c>
      <c r="B23" s="91" t="s">
        <v>25</v>
      </c>
      <c r="C23" s="7" t="s">
        <v>32</v>
      </c>
      <c r="D23" s="39"/>
    </row>
    <row r="24" spans="1:9" ht="12" customHeight="1">
      <c r="B24" s="91" t="s">
        <v>27</v>
      </c>
      <c r="C24" s="87" t="s">
        <v>33</v>
      </c>
      <c r="D24" s="87"/>
      <c r="E24" s="87"/>
      <c r="F24" s="87"/>
    </row>
    <row r="25" spans="1:9" ht="12" customHeight="1">
      <c r="A25" s="114"/>
      <c r="C25" s="91"/>
      <c r="D25" s="91" t="s">
        <v>34</v>
      </c>
    </row>
    <row r="26" spans="1:9" ht="12" customHeight="1">
      <c r="A26" s="36">
        <v>11</v>
      </c>
      <c r="B26" s="34" t="str">
        <f>IF(A26=11,"Gaco Silicone",IF(A26=12,"Gaco Acrylic",IF(A26=13,"Gaco Urethane",IF(A26=21,"BASF Silicone",IF(A26=22,"BASF Acrylic",IF(A26=23,"BASF Urethane",IF(A26=4,"Aluminum",IF(A26=31,"AW Silicone",IF(A26=32,"AW Acrylic",IF(A26=33,"AW Urethane",""))))))))))</f>
        <v>Gaco Silicone</v>
      </c>
      <c r="C26" s="42">
        <v>11250</v>
      </c>
      <c r="D26" s="43">
        <v>1</v>
      </c>
      <c r="E26" s="46">
        <v>30</v>
      </c>
      <c r="F26" s="34" t="s">
        <v>35</v>
      </c>
      <c r="G26" s="38">
        <f>(((C26/100)*D26))*(1+($A$30/100))</f>
        <v>129.375</v>
      </c>
      <c r="H26" s="38">
        <f>E26*G26</f>
        <v>3881.25</v>
      </c>
    </row>
    <row r="27" spans="1:9" ht="12" customHeight="1">
      <c r="A27" s="36">
        <v>11</v>
      </c>
      <c r="B27" s="34" t="str">
        <f t="shared" ref="B27:B28" si="1">IF(A27=11,"Gaco Silicone",IF(A27=12,"Gaco Acrylic",IF(A27=13,"Gaco Urethane",IF(A27=21,"BASF Silicone",IF(A27=22,"BASF Acrylic",IF(A27=23,"BASF Urethane",IF(A27=4,"Aluminum",IF(A27=31,"AW Silicone",IF(A27=32,"AW Acrylic",IF(A27=33,"AW Urethane",""))))))))))</f>
        <v>Gaco Silicone</v>
      </c>
      <c r="C27" s="42">
        <v>11250</v>
      </c>
      <c r="D27" s="43">
        <v>1</v>
      </c>
      <c r="E27" s="46">
        <v>30</v>
      </c>
      <c r="F27" s="34" t="s">
        <v>35</v>
      </c>
      <c r="G27" s="38">
        <f t="shared" ref="G27:G28" si="2">(((C27/100)*D27))*(1+($A$30*0.01))</f>
        <v>129.375</v>
      </c>
      <c r="H27" s="38">
        <f>E27*G27</f>
        <v>3881.25</v>
      </c>
    </row>
    <row r="28" spans="1:9" ht="12" customHeight="1">
      <c r="A28" s="36">
        <v>11</v>
      </c>
      <c r="B28" s="34" t="str">
        <f t="shared" si="1"/>
        <v>Gaco Silicone</v>
      </c>
      <c r="C28" s="42">
        <v>0</v>
      </c>
      <c r="D28" s="43">
        <v>1</v>
      </c>
      <c r="E28" s="46">
        <v>42</v>
      </c>
      <c r="F28" s="34"/>
      <c r="G28" s="38">
        <f t="shared" si="2"/>
        <v>0</v>
      </c>
      <c r="H28" s="38">
        <f>E28*G28</f>
        <v>0</v>
      </c>
    </row>
    <row r="29" spans="1:9" ht="12" customHeight="1">
      <c r="A29" s="114" t="s">
        <v>36</v>
      </c>
      <c r="B29" s="34"/>
      <c r="C29" s="47"/>
      <c r="D29" s="48"/>
      <c r="E29" s="40"/>
      <c r="F29" s="34"/>
      <c r="G29" s="38"/>
      <c r="H29" s="38"/>
    </row>
    <row r="30" spans="1:9" ht="12" customHeight="1">
      <c r="A30" s="49">
        <v>15</v>
      </c>
      <c r="B30" s="100"/>
      <c r="C30" s="50"/>
      <c r="D30" s="51"/>
      <c r="E30" s="40"/>
      <c r="F30" s="34"/>
      <c r="G30" s="38"/>
      <c r="H30" s="38"/>
    </row>
    <row r="31" spans="1:9" ht="12" customHeight="1">
      <c r="D31" s="91"/>
    </row>
    <row r="32" spans="1:9" ht="12" customHeight="1">
      <c r="A32" s="87" t="s">
        <v>37</v>
      </c>
      <c r="B32" s="91" t="s">
        <v>27</v>
      </c>
      <c r="C32" s="87" t="s">
        <v>38</v>
      </c>
      <c r="D32" s="91"/>
    </row>
    <row r="33" spans="1:9" ht="12" customHeight="1">
      <c r="A33" s="35">
        <v>1</v>
      </c>
      <c r="B33" s="34" t="str">
        <f>IF(A33=1,"Naphtha VM&amp;P",IF(A33=2,"Mineral Spirits",IF(A33=3,"Xylene","")))</f>
        <v>Naphtha VM&amp;P</v>
      </c>
      <c r="C33" s="50"/>
      <c r="D33" s="51"/>
      <c r="E33" s="46"/>
      <c r="F33" s="34"/>
      <c r="G33" s="38">
        <f>((G26+G27+G28)/55)*4</f>
        <v>18.818181818181817</v>
      </c>
      <c r="H33" s="38">
        <f>E33*G33</f>
        <v>0</v>
      </c>
    </row>
    <row r="35" spans="1:9" ht="12" customHeight="1">
      <c r="A35" s="87" t="s">
        <v>39</v>
      </c>
      <c r="B35" s="91" t="s">
        <v>27</v>
      </c>
      <c r="C35" s="87" t="s">
        <v>40</v>
      </c>
    </row>
    <row r="36" spans="1:9" ht="12" customHeight="1">
      <c r="A36" s="35">
        <v>2</v>
      </c>
      <c r="B36" s="34" t="str">
        <f>IF(A36=1,"3M",IF(A36=2,"SESCO",""))</f>
        <v>SESCO</v>
      </c>
      <c r="C36" s="52">
        <v>11300</v>
      </c>
      <c r="E36" s="46">
        <v>30</v>
      </c>
      <c r="F36" s="34" t="s">
        <v>41</v>
      </c>
      <c r="G36" s="53">
        <f>(((C36/100)*50)/100)</f>
        <v>56.5</v>
      </c>
      <c r="H36" s="38">
        <f>E36*G36</f>
        <v>1695</v>
      </c>
    </row>
    <row r="37" spans="1:9" ht="12" customHeight="1">
      <c r="A37"/>
      <c r="B37"/>
      <c r="C37"/>
      <c r="D37"/>
      <c r="E37"/>
      <c r="F37"/>
      <c r="G37"/>
      <c r="H37"/>
    </row>
    <row r="38" spans="1:9" ht="12" customHeight="1">
      <c r="A38" s="87" t="s">
        <v>42</v>
      </c>
      <c r="B38" s="91" t="s">
        <v>27</v>
      </c>
      <c r="C38" s="87" t="s">
        <v>43</v>
      </c>
      <c r="D38" s="87"/>
      <c r="E38" s="87"/>
      <c r="F38" s="87"/>
    </row>
    <row r="39" spans="1:9" ht="12" customHeight="1">
      <c r="A39" s="35">
        <v>1</v>
      </c>
      <c r="B39" s="34" t="str">
        <f>IF(A39=1,"Gaco E-5320",IF(A39=2,"Red Zinc Oxide",IF(A39=3,"Black Foam","")))</f>
        <v>Gaco E-5320</v>
      </c>
      <c r="C39" s="36">
        <v>865</v>
      </c>
      <c r="E39" s="37">
        <v>40</v>
      </c>
      <c r="F39" s="34"/>
      <c r="G39" s="38">
        <f>SUM(C39/250)</f>
        <v>3.46</v>
      </c>
      <c r="H39" s="38">
        <f>E39*G39</f>
        <v>138.4</v>
      </c>
    </row>
    <row r="40" spans="1:9" ht="12" customHeight="1">
      <c r="A40" s="39"/>
      <c r="B40" s="34"/>
      <c r="C40" s="39"/>
      <c r="E40" s="40"/>
      <c r="F40" s="34"/>
      <c r="G40" s="38"/>
      <c r="H40" s="38"/>
    </row>
    <row r="41" spans="1:9" ht="12" customHeight="1">
      <c r="A41" s="87" t="s">
        <v>44</v>
      </c>
      <c r="B41" s="91" t="s">
        <v>27</v>
      </c>
      <c r="C41" s="7" t="s">
        <v>45</v>
      </c>
      <c r="I41"/>
    </row>
    <row r="42" spans="1:9" ht="12" customHeight="1">
      <c r="A42" s="87"/>
      <c r="B42" s="91"/>
      <c r="C42" s="7" t="s">
        <v>46</v>
      </c>
    </row>
    <row r="43" spans="1:9" ht="12" customHeight="1">
      <c r="A43" s="35">
        <v>2</v>
      </c>
      <c r="B43" s="34" t="str">
        <f>IF(A43=1,"Silicone Tube",IF(A43=2,"Silicone Sausage",IF(A43=3,"Urethane Tube",IF(A43=4,"Urethane Sausage",IF(A43=5,"Gaco SF-2000",IF(A43=6,"Buttergrade",""))))))</f>
        <v>Silicone Sausage</v>
      </c>
      <c r="C43" s="57"/>
      <c r="E43" s="46">
        <v>12</v>
      </c>
      <c r="F43" s="34"/>
      <c r="G43" s="141">
        <v>48</v>
      </c>
      <c r="H43" s="38">
        <f>E43*G43</f>
        <v>576</v>
      </c>
    </row>
    <row r="45" spans="1:9" ht="12" customHeight="1">
      <c r="A45" s="35">
        <v>5</v>
      </c>
      <c r="B45" s="34" t="str">
        <f>IF(A45=1,"Silicone Tube",IF(A45=2,"Silicone Sausage",IF(A45=3,"Urethane Tube",IF(A45=4,"Urethane Sausage",IF(A45=5,"Gaco SF-2000",IF(A45=6,"Buttergrade",""))))))</f>
        <v>Gaco SF-2000</v>
      </c>
      <c r="C45" s="57"/>
      <c r="E45" s="46">
        <v>46</v>
      </c>
      <c r="F45" s="34"/>
      <c r="G45" s="144">
        <v>12</v>
      </c>
      <c r="H45" s="38">
        <f>E45*G45</f>
        <v>552</v>
      </c>
    </row>
    <row r="46" spans="1:9" ht="12" customHeight="1">
      <c r="A46"/>
      <c r="B46"/>
      <c r="C46" s="95" t="s">
        <v>47</v>
      </c>
      <c r="D46"/>
      <c r="E46"/>
      <c r="F46"/>
      <c r="G46"/>
      <c r="H46"/>
    </row>
    <row r="47" spans="1:9" ht="12" customHeight="1">
      <c r="A47" s="114" t="s">
        <v>48</v>
      </c>
      <c r="C47" s="52">
        <v>0</v>
      </c>
      <c r="E47"/>
      <c r="G47"/>
      <c r="H47" s="38"/>
    </row>
    <row r="48" spans="1:9" ht="12" customHeight="1">
      <c r="D48" s="91" t="s">
        <v>49</v>
      </c>
      <c r="G48"/>
    </row>
    <row r="49" spans="1:8" ht="12" customHeight="1">
      <c r="A49" s="114" t="s">
        <v>50</v>
      </c>
      <c r="B49" s="103"/>
      <c r="C49" s="25"/>
      <c r="D49" s="112">
        <v>0</v>
      </c>
      <c r="E49"/>
      <c r="F49" s="34"/>
      <c r="G49"/>
      <c r="H49" s="38"/>
    </row>
    <row r="50" spans="1:8" ht="12" customHeight="1">
      <c r="D50" s="91"/>
      <c r="G50"/>
    </row>
    <row r="51" spans="1:8" ht="12" customHeight="1">
      <c r="A51" s="114" t="s">
        <v>51</v>
      </c>
      <c r="B51" s="103"/>
      <c r="C51" s="25"/>
      <c r="D51" s="112">
        <v>0</v>
      </c>
      <c r="E51"/>
      <c r="F51" s="34"/>
      <c r="G51"/>
      <c r="H51" s="38"/>
    </row>
    <row r="52" spans="1:8" ht="12" customHeight="1">
      <c r="D52" s="39"/>
      <c r="E52"/>
      <c r="G52"/>
    </row>
    <row r="53" spans="1:8" ht="12" customHeight="1">
      <c r="A53" s="114" t="s">
        <v>52</v>
      </c>
      <c r="B53" s="103"/>
      <c r="C53" s="25"/>
      <c r="D53" s="112">
        <v>0</v>
      </c>
      <c r="E53"/>
      <c r="F53" s="34"/>
      <c r="G53"/>
      <c r="H53" s="38"/>
    </row>
    <row r="54" spans="1:8" ht="12" customHeight="1">
      <c r="A54"/>
      <c r="B54"/>
      <c r="C54"/>
      <c r="D54"/>
      <c r="E54"/>
      <c r="F54"/>
      <c r="G54"/>
      <c r="H54"/>
    </row>
    <row r="55" spans="1:8" ht="12" customHeight="1">
      <c r="A55" s="87" t="s">
        <v>53</v>
      </c>
      <c r="B55" s="91" t="s">
        <v>27</v>
      </c>
      <c r="C55" s="87" t="s">
        <v>54</v>
      </c>
    </row>
    <row r="56" spans="1:8" ht="12" customHeight="1">
      <c r="A56" s="87"/>
      <c r="B56" s="91"/>
      <c r="C56" s="87" t="s">
        <v>55</v>
      </c>
    </row>
    <row r="57" spans="1:8" ht="12" customHeight="1">
      <c r="C57" s="91" t="s">
        <v>20</v>
      </c>
      <c r="D57" s="91" t="s">
        <v>29</v>
      </c>
      <c r="E57" s="91" t="s">
        <v>56</v>
      </c>
    </row>
    <row r="58" spans="1:8" ht="12" customHeight="1">
      <c r="A58" s="35">
        <v>1</v>
      </c>
      <c r="B58" s="115" t="str">
        <f>IF(A58=1,"ISO Board",IF(A58=2,"Wood Fiber",IF(A58=3,"Dens Deck",IF(A58=4,"Type X Gyp Board",IF(A58=5,"Flute Filler","")))))</f>
        <v>ISO Board</v>
      </c>
      <c r="C58" s="119">
        <v>0</v>
      </c>
      <c r="D58" s="117">
        <v>0</v>
      </c>
      <c r="E58" s="122">
        <v>30</v>
      </c>
      <c r="F58" s="34"/>
      <c r="G58" s="57"/>
      <c r="H58" s="38">
        <f>C58/100*E58</f>
        <v>0</v>
      </c>
    </row>
    <row r="59" spans="1:8" ht="12" customHeight="1">
      <c r="A59" s="35">
        <v>1</v>
      </c>
      <c r="B59" s="115" t="str">
        <f t="shared" ref="B59:B60" si="3">IF(A59=1,"ISO Board",IF(A59=2,"Wood Fiber",IF(A59=3,"Dens Deck",IF(A59=4,"Type X Gyp Board",IF(A59=5,"Flute Filler","")))))</f>
        <v>ISO Board</v>
      </c>
      <c r="C59" s="119">
        <v>0</v>
      </c>
      <c r="D59" s="117">
        <v>0</v>
      </c>
      <c r="E59" s="122">
        <v>30</v>
      </c>
      <c r="F59" s="34"/>
      <c r="G59" s="57"/>
      <c r="H59" s="38">
        <f t="shared" ref="H59:H60" si="4">C59/100*E59</f>
        <v>0</v>
      </c>
    </row>
    <row r="60" spans="1:8" ht="12" customHeight="1">
      <c r="A60" s="35">
        <v>1</v>
      </c>
      <c r="B60" s="115" t="str">
        <f t="shared" si="3"/>
        <v>ISO Board</v>
      </c>
      <c r="C60" s="119">
        <v>0</v>
      </c>
      <c r="D60" s="117">
        <v>0</v>
      </c>
      <c r="E60" s="122">
        <v>30</v>
      </c>
      <c r="F60" s="34"/>
      <c r="G60" s="57"/>
      <c r="H60" s="38">
        <f t="shared" si="4"/>
        <v>0</v>
      </c>
    </row>
    <row r="61" spans="1:8" ht="12" customHeight="1">
      <c r="C61" s="91"/>
      <c r="G61" s="91"/>
    </row>
    <row r="62" spans="1:8" ht="12" customHeight="1">
      <c r="C62" s="91" t="s">
        <v>57</v>
      </c>
    </row>
    <row r="63" spans="1:8" ht="12" customHeight="1">
      <c r="A63" s="87" t="s">
        <v>58</v>
      </c>
      <c r="B63" s="54"/>
      <c r="C63" s="49"/>
      <c r="E63" s="123">
        <v>100</v>
      </c>
      <c r="F63" s="34"/>
      <c r="G63" s="57">
        <f>C58/32*12</f>
        <v>0</v>
      </c>
      <c r="H63" s="38">
        <f>E63*G63/1000</f>
        <v>0</v>
      </c>
    </row>
    <row r="65" spans="1:8" ht="12" customHeight="1">
      <c r="A65" s="87" t="s">
        <v>59</v>
      </c>
      <c r="B65" s="23"/>
      <c r="E65" s="124">
        <v>80</v>
      </c>
      <c r="G65" s="57">
        <f>C58/32*12</f>
        <v>0</v>
      </c>
      <c r="H65" s="38">
        <f>E65*G65/1000</f>
        <v>0</v>
      </c>
    </row>
    <row r="67" spans="1:8" ht="12" customHeight="1">
      <c r="A67" s="87" t="s">
        <v>60</v>
      </c>
      <c r="B67" s="91" t="s">
        <v>27</v>
      </c>
      <c r="C67" s="87" t="s">
        <v>61</v>
      </c>
    </row>
    <row r="68" spans="1:8" ht="12" customHeight="1">
      <c r="A68" s="87"/>
      <c r="B68" s="91"/>
      <c r="C68" s="91"/>
      <c r="D68" s="91" t="s">
        <v>29</v>
      </c>
      <c r="E68" s="91"/>
      <c r="F68" s="91" t="s">
        <v>36</v>
      </c>
    </row>
    <row r="69" spans="1:8" ht="12" customHeight="1">
      <c r="A69" s="36">
        <v>3</v>
      </c>
      <c r="B69" s="34" t="str">
        <f>IF(A69=1,"20 Yard",IF(A69=2,"30 Yard",IF(A69=3,"40 Yard","")))</f>
        <v>40 Yard</v>
      </c>
      <c r="C69" s="127">
        <v>0</v>
      </c>
      <c r="D69" s="125">
        <v>0</v>
      </c>
      <c r="E69" s="138">
        <v>400</v>
      </c>
      <c r="F69" s="49">
        <v>25</v>
      </c>
      <c r="G69" s="126">
        <f>(IF(A69=1,C69*D69/12/700,IF(A69=2,C69*D69/12/1000,IF(A69=3,C69*D69/12/1400,""))))*(1+(F69/100))</f>
        <v>0</v>
      </c>
      <c r="H69" s="38">
        <f>G69*E69</f>
        <v>0</v>
      </c>
    </row>
    <row r="70" spans="1:8" ht="12" customHeight="1">
      <c r="A70" s="39"/>
      <c r="B70" s="34"/>
      <c r="C70" s="128"/>
      <c r="D70" s="48"/>
      <c r="E70" s="40"/>
      <c r="F70" s="34"/>
      <c r="G70" s="126"/>
      <c r="H70" s="38"/>
    </row>
    <row r="71" spans="1:8" ht="12" customHeight="1">
      <c r="A71" s="7" t="s">
        <v>62</v>
      </c>
      <c r="B71" s="91" t="s">
        <v>27</v>
      </c>
      <c r="C71" s="87" t="s">
        <v>63</v>
      </c>
      <c r="F71" s="34"/>
      <c r="G71" s="126"/>
      <c r="H71" s="38"/>
    </row>
    <row r="72" spans="1:8" ht="12" customHeight="1">
      <c r="A72" s="39"/>
      <c r="B72" s="34"/>
      <c r="C72" s="135" t="s">
        <v>64</v>
      </c>
      <c r="D72" s="136" t="s">
        <v>65</v>
      </c>
      <c r="E72" s="40"/>
      <c r="F72" s="91" t="s">
        <v>36</v>
      </c>
      <c r="G72" s="126"/>
      <c r="H72" s="38"/>
    </row>
    <row r="73" spans="1:8" ht="12" customHeight="1">
      <c r="A73" s="36">
        <v>1</v>
      </c>
      <c r="B73" s="34" t="str">
        <f>IF(A73=1,"Forklift",IF(A73=2,"Boom",IF(A73=3,"Scissor",IF(A73=4,"Articulating",""))))</f>
        <v>Forklift</v>
      </c>
      <c r="C73" s="127" t="s">
        <v>66</v>
      </c>
      <c r="D73" s="137">
        <v>0</v>
      </c>
      <c r="E73" s="130">
        <v>0</v>
      </c>
      <c r="F73" s="117">
        <v>20</v>
      </c>
      <c r="G73" s="126"/>
      <c r="H73" s="142">
        <f>D73*E73*(1+(F73/100))</f>
        <v>0</v>
      </c>
    </row>
    <row r="74" spans="1:8" ht="12" customHeight="1">
      <c r="A74" s="36">
        <v>1</v>
      </c>
      <c r="B74" s="34" t="str">
        <f>IF(A74=1,"Forklift",IF(A74=2,"Boom",IF(A74=3,"Scissor",IF(A74=4,"Articulating",""))))</f>
        <v>Forklift</v>
      </c>
      <c r="C74" s="127" t="s">
        <v>66</v>
      </c>
      <c r="D74" s="137">
        <v>0</v>
      </c>
      <c r="E74" s="130">
        <v>0</v>
      </c>
      <c r="F74" s="117">
        <v>20</v>
      </c>
      <c r="G74" s="126"/>
      <c r="H74" s="142">
        <f>D74*E74*(1+(F74/100))</f>
        <v>0</v>
      </c>
    </row>
    <row r="75" spans="1:8" ht="12" customHeight="1">
      <c r="A75" s="87"/>
      <c r="B75" s="34"/>
      <c r="C75" s="57"/>
      <c r="E75" s="40"/>
      <c r="F75" s="34"/>
      <c r="G75" s="53"/>
      <c r="H75" s="38"/>
    </row>
    <row r="76" spans="1:8" ht="12" customHeight="1">
      <c r="A76" s="87" t="s">
        <v>67</v>
      </c>
      <c r="B76" s="139"/>
      <c r="C76" s="57"/>
      <c r="E76" s="140">
        <v>0</v>
      </c>
      <c r="F76" s="34"/>
      <c r="G76" s="141">
        <v>0</v>
      </c>
      <c r="H76" s="38">
        <f>E76*G76</f>
        <v>0</v>
      </c>
    </row>
    <row r="77" spans="1:8" ht="12" customHeight="1">
      <c r="A77" s="87"/>
      <c r="B77" s="34"/>
      <c r="C77" s="57"/>
      <c r="E77" s="40"/>
      <c r="F77" s="34"/>
      <c r="G77" s="53"/>
      <c r="H77" s="38"/>
    </row>
    <row r="78" spans="1:8" ht="12" customHeight="1">
      <c r="C78" s="91" t="s">
        <v>47</v>
      </c>
      <c r="D78" s="91" t="s">
        <v>68</v>
      </c>
    </row>
    <row r="79" spans="1:8" ht="12" customHeight="1">
      <c r="A79" s="87" t="s">
        <v>69</v>
      </c>
      <c r="B79" s="108"/>
      <c r="C79" s="35">
        <v>0</v>
      </c>
      <c r="D79" s="109">
        <v>0</v>
      </c>
      <c r="E79" s="129">
        <v>5</v>
      </c>
      <c r="G79" s="91"/>
      <c r="H79" s="75">
        <f>C79*E79</f>
        <v>0</v>
      </c>
    </row>
    <row r="80" spans="1:8" ht="12" customHeight="1">
      <c r="C80" s="91"/>
      <c r="G80" s="91"/>
    </row>
    <row r="81" spans="1:8" ht="12" customHeight="1">
      <c r="C81" s="91" t="s">
        <v>47</v>
      </c>
      <c r="G81" s="91"/>
    </row>
    <row r="82" spans="1:8" ht="12" customHeight="1">
      <c r="A82" s="87" t="s">
        <v>70</v>
      </c>
      <c r="B82" s="54"/>
      <c r="C82" s="55">
        <v>0</v>
      </c>
      <c r="E82" s="46">
        <v>0</v>
      </c>
      <c r="F82" s="34"/>
      <c r="G82" s="40"/>
      <c r="H82" s="38">
        <f>C82*E82</f>
        <v>0</v>
      </c>
    </row>
    <row r="83" spans="1:8" ht="12" customHeight="1">
      <c r="C83" s="91"/>
    </row>
    <row r="84" spans="1:8" ht="12" customHeight="1">
      <c r="A84" s="87" t="s">
        <v>71</v>
      </c>
      <c r="B84" s="25"/>
      <c r="C84" s="105">
        <v>0</v>
      </c>
      <c r="E84" s="46">
        <v>0</v>
      </c>
      <c r="H84" s="38">
        <f>C84*E84</f>
        <v>0</v>
      </c>
    </row>
    <row r="85" spans="1:8" ht="12" customHeight="1">
      <c r="A85" s="87"/>
    </row>
    <row r="86" spans="1:8" ht="12" customHeight="1">
      <c r="A86" s="87" t="s">
        <v>72</v>
      </c>
      <c r="B86" s="23"/>
      <c r="C86" s="102">
        <v>0</v>
      </c>
      <c r="E86" s="46">
        <v>0</v>
      </c>
      <c r="F86" s="34"/>
      <c r="G86" s="101"/>
      <c r="H86" s="38">
        <f>C86*E86</f>
        <v>0</v>
      </c>
    </row>
    <row r="87" spans="1:8" ht="12" customHeight="1">
      <c r="A87"/>
      <c r="B87"/>
      <c r="C87"/>
      <c r="D87"/>
      <c r="E87"/>
      <c r="F87"/>
      <c r="G87"/>
      <c r="H87"/>
    </row>
    <row r="88" spans="1:8" ht="12" customHeight="1">
      <c r="A88" s="104" t="s">
        <v>73</v>
      </c>
      <c r="B88" s="103"/>
      <c r="D88"/>
      <c r="E88" s="46">
        <v>0</v>
      </c>
      <c r="F88"/>
      <c r="G88" s="111">
        <v>0</v>
      </c>
      <c r="H88" s="38">
        <f>G88*E88</f>
        <v>0</v>
      </c>
    </row>
    <row r="89" spans="1:8" ht="12" customHeight="1">
      <c r="A89" s="104"/>
      <c r="B89"/>
      <c r="D89"/>
      <c r="E89"/>
      <c r="F89"/>
      <c r="G89" s="95"/>
      <c r="H89"/>
    </row>
    <row r="90" spans="1:8" ht="12" customHeight="1">
      <c r="A90" s="104" t="s">
        <v>74</v>
      </c>
      <c r="B90" s="23"/>
      <c r="E90" s="46">
        <v>0</v>
      </c>
      <c r="F90"/>
      <c r="G90" s="111">
        <v>0</v>
      </c>
      <c r="H90" s="38">
        <f>G90*E90</f>
        <v>0</v>
      </c>
    </row>
    <row r="91" spans="1:8" ht="12" customHeight="1">
      <c r="A91"/>
      <c r="B91"/>
      <c r="D91"/>
      <c r="E91"/>
      <c r="F91"/>
      <c r="G91"/>
      <c r="H91"/>
    </row>
    <row r="92" spans="1:8" ht="12" customHeight="1">
      <c r="A92" s="104" t="s">
        <v>75</v>
      </c>
      <c r="B92" s="23"/>
      <c r="E92" s="46">
        <v>0</v>
      </c>
      <c r="F92"/>
      <c r="G92" s="111">
        <v>0</v>
      </c>
      <c r="H92" s="38">
        <f>G92*E92</f>
        <v>0</v>
      </c>
    </row>
    <row r="93" spans="1:8" ht="12" customHeight="1">
      <c r="A93" s="104"/>
      <c r="B93"/>
      <c r="D93"/>
      <c r="E93"/>
      <c r="F93"/>
      <c r="G93"/>
      <c r="H93"/>
    </row>
    <row r="94" spans="1:8" ht="12" customHeight="1">
      <c r="A94" s="104" t="s">
        <v>76</v>
      </c>
      <c r="B94" s="103"/>
      <c r="E94" s="46">
        <v>0</v>
      </c>
      <c r="F94"/>
      <c r="G94" s="111">
        <v>0</v>
      </c>
      <c r="H94" s="38">
        <f>G94*E94</f>
        <v>0</v>
      </c>
    </row>
    <row r="95" spans="1:8" ht="12" customHeight="1">
      <c r="A95" s="104"/>
      <c r="B95"/>
      <c r="D95"/>
      <c r="E95"/>
      <c r="F95"/>
      <c r="G95"/>
      <c r="H95"/>
    </row>
    <row r="96" spans="1:8" ht="12" customHeight="1">
      <c r="A96" s="104" t="s">
        <v>77</v>
      </c>
      <c r="B96" s="23"/>
      <c r="E96" s="46">
        <v>0</v>
      </c>
      <c r="F96"/>
      <c r="G96" s="111">
        <v>0</v>
      </c>
      <c r="H96" s="38">
        <f>G96*E96</f>
        <v>0</v>
      </c>
    </row>
    <row r="98" spans="1:8" ht="12" customHeight="1">
      <c r="C98" s="91" t="s">
        <v>78</v>
      </c>
    </row>
    <row r="99" spans="1:8" ht="12" customHeight="1">
      <c r="A99" s="87" t="s">
        <v>79</v>
      </c>
      <c r="B99" s="56"/>
      <c r="C99" s="55">
        <v>7</v>
      </c>
      <c r="E99" s="46">
        <v>50</v>
      </c>
      <c r="F99" s="34"/>
      <c r="G99" s="53"/>
      <c r="H99" s="38">
        <f>C99*E99</f>
        <v>350</v>
      </c>
    </row>
    <row r="101" spans="1:8" ht="12" customHeight="1">
      <c r="A101" s="87" t="s">
        <v>80</v>
      </c>
      <c r="B101" s="24"/>
      <c r="C101" s="57"/>
      <c r="E101" s="46">
        <v>0</v>
      </c>
      <c r="F101" s="34"/>
      <c r="H101" s="38">
        <f>E101</f>
        <v>0</v>
      </c>
    </row>
    <row r="103" spans="1:8" ht="12" customHeight="1">
      <c r="A103" s="87" t="s">
        <v>81</v>
      </c>
      <c r="B103" s="23"/>
      <c r="C103" s="57"/>
      <c r="E103" s="46">
        <v>0</v>
      </c>
      <c r="F103" s="34"/>
      <c r="H103" s="38">
        <f>E103</f>
        <v>0</v>
      </c>
    </row>
    <row r="104" spans="1:8" ht="12" customHeight="1">
      <c r="A104" s="87"/>
      <c r="B104" s="113"/>
      <c r="C104" s="57"/>
      <c r="E104"/>
      <c r="F104" s="34"/>
      <c r="G104" s="53"/>
      <c r="H104" s="38"/>
    </row>
    <row r="105" spans="1:8" ht="12" customHeight="1">
      <c r="A105"/>
      <c r="B105" s="95" t="s">
        <v>82</v>
      </c>
      <c r="C105" s="95" t="s">
        <v>83</v>
      </c>
      <c r="D105"/>
      <c r="E105"/>
      <c r="F105"/>
      <c r="G105"/>
      <c r="H105"/>
    </row>
    <row r="106" spans="1:8" ht="12" customHeight="1">
      <c r="A106" s="87" t="s">
        <v>84</v>
      </c>
      <c r="B106" s="58">
        <v>9</v>
      </c>
      <c r="C106" s="55">
        <v>20</v>
      </c>
      <c r="D106" s="18"/>
      <c r="E106" s="46">
        <v>0.75</v>
      </c>
      <c r="F106" s="34"/>
      <c r="G106" s="53"/>
      <c r="H106" s="38">
        <f>B106*C106*E106</f>
        <v>135</v>
      </c>
    </row>
    <row r="108" spans="1:8" ht="12" customHeight="1">
      <c r="A108" s="87" t="s">
        <v>85</v>
      </c>
      <c r="B108" s="58">
        <v>16</v>
      </c>
      <c r="C108" s="55">
        <v>20</v>
      </c>
      <c r="D108" s="18"/>
      <c r="E108" s="46">
        <v>1</v>
      </c>
      <c r="F108" s="34"/>
      <c r="G108" s="53"/>
      <c r="H108" s="38">
        <f>B108*C108*E108</f>
        <v>320</v>
      </c>
    </row>
    <row r="109" spans="1:8" ht="12" customHeight="1">
      <c r="A109" s="33"/>
      <c r="B109" s="33"/>
      <c r="C109" s="34" t="s">
        <v>86</v>
      </c>
      <c r="D109" s="34"/>
      <c r="E109" s="34"/>
      <c r="F109" s="34"/>
      <c r="G109" s="34"/>
      <c r="H109" s="33" t="s">
        <v>87</v>
      </c>
    </row>
    <row r="110" spans="1:8" ht="12" customHeight="1">
      <c r="B110" s="31"/>
      <c r="F110" s="59"/>
      <c r="G110" s="60" t="s">
        <v>88</v>
      </c>
      <c r="H110" s="61">
        <f>SUM(H19:H108)</f>
        <v>12651.736538461539</v>
      </c>
    </row>
    <row r="111" spans="1:8" ht="12" customHeight="1">
      <c r="B111" s="31"/>
      <c r="E111" s="18"/>
      <c r="F111" s="60" t="s">
        <v>89</v>
      </c>
      <c r="G111" s="88">
        <v>0.06</v>
      </c>
      <c r="H111" s="61">
        <f>(H110*G111)</f>
        <v>759.1041923076923</v>
      </c>
    </row>
    <row r="112" spans="1:8" ht="12" customHeight="1">
      <c r="A112" s="87" t="s">
        <v>90</v>
      </c>
    </row>
    <row r="113" spans="1:11" ht="12.75" customHeight="1">
      <c r="A113" s="33" t="s">
        <v>18</v>
      </c>
      <c r="B113" s="33"/>
    </row>
    <row r="114" spans="1:11" ht="36.75" customHeight="1">
      <c r="B114" s="62" t="s">
        <v>91</v>
      </c>
      <c r="C114" s="62" t="s">
        <v>92</v>
      </c>
      <c r="D114" s="62" t="s">
        <v>93</v>
      </c>
      <c r="E114" s="62" t="s">
        <v>94</v>
      </c>
      <c r="F114" s="62" t="s">
        <v>95</v>
      </c>
      <c r="G114" s="62" t="s">
        <v>96</v>
      </c>
      <c r="H114" s="62" t="s">
        <v>23</v>
      </c>
      <c r="J114" s="62" t="s">
        <v>97</v>
      </c>
    </row>
    <row r="115" spans="1:11" ht="12" customHeight="1">
      <c r="D115" s="91"/>
      <c r="F115" s="91"/>
    </row>
    <row r="116" spans="1:11" ht="12" customHeight="1">
      <c r="A116" s="87" t="s">
        <v>98</v>
      </c>
      <c r="B116" s="63">
        <v>0.15</v>
      </c>
      <c r="C116" s="45">
        <v>5</v>
      </c>
      <c r="D116" s="64">
        <f>(B116*People!B11)*C116</f>
        <v>7.5</v>
      </c>
      <c r="E116" s="65"/>
      <c r="F116" s="66"/>
      <c r="G116" s="67">
        <f>(E116+F116)*People!C3</f>
        <v>0</v>
      </c>
      <c r="H116" s="68">
        <f>IF(G116=0, B116*J116, D116*G116)</f>
        <v>250.08749999999998</v>
      </c>
      <c r="J116" s="69">
        <f>IF(C116=1,People!$D$12)+IF(C116=2,People!$E$12)+IF(C116=3,People!$F$12)+IF(C116=4,People!$G$12)+IF(C116=5,People!$H$12)+IF(C116=6,People!$I$12)+IF(C116=7,People!$J$12)+IF(C116=8,People!$K$12)</f>
        <v>1667.25</v>
      </c>
      <c r="K116" s="70"/>
    </row>
    <row r="117" spans="1:11" ht="12" customHeight="1">
      <c r="B117" s="34"/>
      <c r="C117" s="30"/>
      <c r="E117" s="91"/>
      <c r="J117" s="71"/>
      <c r="K117" s="70"/>
    </row>
    <row r="118" spans="1:11" ht="12" customHeight="1">
      <c r="A118" s="87" t="s">
        <v>99</v>
      </c>
      <c r="B118" s="72">
        <v>1</v>
      </c>
      <c r="C118" s="45">
        <v>5</v>
      </c>
      <c r="D118" s="64">
        <f>(B118*People!B11)*C118</f>
        <v>50</v>
      </c>
      <c r="E118" s="65"/>
      <c r="F118" s="73"/>
      <c r="G118" s="67">
        <f>(E118+F118)*People!C3</f>
        <v>0</v>
      </c>
      <c r="H118" s="68">
        <f>IF(G118=0, B118*J118, D118*G118)</f>
        <v>1667.25</v>
      </c>
      <c r="J118" s="69">
        <f>IF(C118=1,People!$D$12)+IF(C118=2,People!$E$12)+IF(C118=3,People!$F$12)+IF(C118=4,People!$G$12)+IF(C118=5,People!$H$12)+IF(C118=6,People!$I$12)+IF(C118=7,People!$J$12)+IF(C118=8,People!$K$12)</f>
        <v>1667.25</v>
      </c>
      <c r="K118" s="70"/>
    </row>
    <row r="119" spans="1:11" ht="12" customHeight="1">
      <c r="B119" s="91"/>
      <c r="C119" s="30"/>
      <c r="J119" s="71"/>
      <c r="K119" s="70"/>
    </row>
    <row r="120" spans="1:11" ht="12" customHeight="1">
      <c r="A120" s="87" t="s">
        <v>100</v>
      </c>
      <c r="B120" s="72">
        <v>1.25</v>
      </c>
      <c r="C120" s="45">
        <v>5</v>
      </c>
      <c r="D120" s="64">
        <f>(B120*People!B11)*C120</f>
        <v>62.5</v>
      </c>
      <c r="E120" s="65"/>
      <c r="F120" s="73"/>
      <c r="G120" s="67">
        <f>(E120+F120)*People!C3</f>
        <v>0</v>
      </c>
      <c r="H120" s="68">
        <f>IF(G120=0, B120*J120, D120*G120)</f>
        <v>2084.0625</v>
      </c>
      <c r="J120" s="69">
        <f>IF(C120=1,People!$D$12)+IF(C120=2,People!$E$12)+IF(C120=3,People!$F$12)+IF(C120=4,People!$G$12)+IF(C120=5,People!$H$12)+IF(C120=6,People!$I$12)+IF(C120=7,People!$J$12)+IF(C120=8,People!$K$12)</f>
        <v>1667.25</v>
      </c>
      <c r="K120" s="70"/>
    </row>
    <row r="121" spans="1:11" ht="12" customHeight="1">
      <c r="B121" s="91"/>
      <c r="C121" s="30"/>
      <c r="J121" s="71"/>
      <c r="K121" s="70"/>
    </row>
    <row r="122" spans="1:11" ht="12" customHeight="1">
      <c r="A122" s="87" t="s">
        <v>101</v>
      </c>
      <c r="B122" s="72">
        <v>1.4</v>
      </c>
      <c r="C122" s="45">
        <v>5</v>
      </c>
      <c r="D122" s="64">
        <f>(B122*People!B11)*C122</f>
        <v>70</v>
      </c>
      <c r="E122" s="65"/>
      <c r="F122" s="73"/>
      <c r="G122" s="67">
        <f>(E122+F122)*People!C3</f>
        <v>0</v>
      </c>
      <c r="H122" s="68">
        <f>IF(G122=0, B122*J122, D122*G122)</f>
        <v>2334.1499999999996</v>
      </c>
      <c r="J122" s="69">
        <f>IF(C122=1,People!$D$12)+IF(C122=2,People!$E$12)+IF(C122=3,People!$F$12)+IF(C122=4,People!$G$12)+IF(C122=5,People!$H$12)+IF(C122=6,People!$I$12)+IF(C122=7,People!$J$12)+IF(C122=8,People!$K$12)</f>
        <v>1667.25</v>
      </c>
      <c r="K122" s="70"/>
    </row>
    <row r="123" spans="1:11" ht="12" customHeight="1">
      <c r="B123" s="91"/>
      <c r="C123" s="30"/>
      <c r="J123" s="71"/>
    </row>
    <row r="124" spans="1:11" ht="12" customHeight="1">
      <c r="A124" s="87"/>
      <c r="B124" s="72"/>
      <c r="C124" s="45"/>
      <c r="D124" s="64">
        <f>(B124*People!B11)*C124</f>
        <v>0</v>
      </c>
      <c r="E124" s="65"/>
      <c r="F124" s="73"/>
      <c r="G124" s="67">
        <f>(E124+F124)*People!C3</f>
        <v>0</v>
      </c>
      <c r="H124" s="68">
        <f>IF(G124=0, B124*J124, D124*G124)</f>
        <v>0</v>
      </c>
      <c r="J124" s="69">
        <f>IF(C124=1,People!$D$12)+IF(C124=2,People!$E$12)+IF(C124=3,People!$F$12)+IF(C124=4,People!$G$12)+IF(C124=5,People!$H$12)+IF(C124=6,People!$I$12)+IF(C124=7,People!$J$12)+IF(C124=8,People!$K$12)</f>
        <v>0</v>
      </c>
    </row>
    <row r="125" spans="1:11" ht="12" customHeight="1">
      <c r="B125" s="91"/>
      <c r="C125" s="30"/>
      <c r="J125" s="71"/>
    </row>
    <row r="126" spans="1:11" ht="12" customHeight="1">
      <c r="A126" s="87" t="s">
        <v>102</v>
      </c>
      <c r="B126" s="72">
        <v>0.65</v>
      </c>
      <c r="C126" s="45">
        <v>5</v>
      </c>
      <c r="D126" s="64">
        <f>(B126*People!B11)*C126</f>
        <v>32.5</v>
      </c>
      <c r="E126" s="65"/>
      <c r="F126" s="73"/>
      <c r="G126" s="67">
        <f>(E126+F126)*People!C3</f>
        <v>0</v>
      </c>
      <c r="H126" s="68">
        <f>IF(G126=0, B126*J126, D126*G126)</f>
        <v>1083.7125000000001</v>
      </c>
      <c r="J126" s="69">
        <f>IF(C126=1,People!$D$12)+IF(C126=2,People!$E$12)+IF(C126=3,People!$F$12)+IF(C126=4,People!$G$12)+IF(C126=5,People!$H$12)+IF(C126=6,People!$I$12)+IF(C126=7,People!$J$12)+IF(C126=8,People!$K$12)</f>
        <v>1667.25</v>
      </c>
    </row>
    <row r="127" spans="1:11" ht="12" customHeight="1">
      <c r="A127"/>
      <c r="B127"/>
      <c r="C127"/>
      <c r="D127"/>
      <c r="E127"/>
      <c r="F127"/>
      <c r="G127"/>
      <c r="H127"/>
      <c r="J127" s="69"/>
    </row>
    <row r="128" spans="1:11" ht="12" customHeight="1">
      <c r="A128" s="87" t="s">
        <v>103</v>
      </c>
      <c r="B128" s="72"/>
      <c r="C128" s="45"/>
      <c r="D128" s="64">
        <f>(B128*People!B11)*C128</f>
        <v>0</v>
      </c>
      <c r="E128" s="65"/>
      <c r="F128" s="73"/>
      <c r="G128" s="67">
        <f>(E128+F128)*People!C3</f>
        <v>0</v>
      </c>
      <c r="H128" s="68">
        <f>IF(G128=0, B128*J128, D128*G128)</f>
        <v>0</v>
      </c>
      <c r="J128" s="69">
        <f>IF(C128=1,People!$D$12)+IF(C128=2,People!$E$12)+IF(C128=3,People!$F$12)+IF(C128=4,People!$G$12)+IF(C128=5,People!$H$12)+IF(C128=6,People!$I$12)+IF(C128=7,People!$J$12)+IF(C128=8,People!$K$12)</f>
        <v>0</v>
      </c>
    </row>
    <row r="129" spans="1:10" ht="12" customHeight="1">
      <c r="B129" s="91"/>
      <c r="C129" s="30"/>
    </row>
    <row r="130" spans="1:10" ht="12" customHeight="1">
      <c r="A130" s="87" t="s">
        <v>104</v>
      </c>
      <c r="B130" s="72">
        <v>1.4</v>
      </c>
      <c r="C130" s="45">
        <v>5</v>
      </c>
      <c r="D130" s="64">
        <f>(B130*People!B11)*C130</f>
        <v>70</v>
      </c>
      <c r="E130" s="65"/>
      <c r="F130" s="73"/>
      <c r="G130" s="67">
        <f>(E130+F130)*People!C3</f>
        <v>0</v>
      </c>
      <c r="H130" s="68">
        <f>IF(G130=0, B130*J130, D130*G130)</f>
        <v>2334.1499999999996</v>
      </c>
      <c r="J130" s="69">
        <f>IF(C130=1,People!$D$12)+IF(C130=2,People!$E$12)+IF(C130=3,People!$F$12)+IF(C130=4,People!$G$12)+IF(C130=5,People!$H$12)+IF(C130=6,People!$I$12)+IF(C130=7,People!$J$12)+IF(C130=8,People!$K$12)</f>
        <v>1667.25</v>
      </c>
    </row>
    <row r="131" spans="1:10" ht="12" customHeight="1">
      <c r="B131" s="91"/>
      <c r="C131" s="30"/>
    </row>
    <row r="132" spans="1:10" ht="12" customHeight="1">
      <c r="A132" s="87" t="s">
        <v>105</v>
      </c>
      <c r="B132" s="72">
        <v>0.5</v>
      </c>
      <c r="C132" s="45">
        <v>5</v>
      </c>
      <c r="D132" s="64">
        <f>(B132*People!B11)*C132</f>
        <v>25</v>
      </c>
      <c r="E132" s="65"/>
      <c r="F132" s="73"/>
      <c r="G132" s="67">
        <f>(E132+F132)*People!C3</f>
        <v>0</v>
      </c>
      <c r="H132" s="68">
        <f>IF(G132=0, B132*J132, D132*G132)</f>
        <v>833.625</v>
      </c>
      <c r="J132" s="69">
        <f>IF(C132=1,People!$D$12)+IF(C132=2,People!$E$12)+IF(C132=3,People!$F$12)+IF(C132=4,People!$G$12)+IF(C132=5,People!$H$12)+IF(C132=6,People!$I$12)+IF(C132=7,People!$J$12)+IF(C132=8,People!$K$12)</f>
        <v>1667.25</v>
      </c>
    </row>
    <row r="133" spans="1:10" ht="12" customHeight="1">
      <c r="B133" s="91"/>
      <c r="C133" s="30"/>
    </row>
    <row r="134" spans="1:10" ht="12" customHeight="1">
      <c r="A134" s="87" t="s">
        <v>80</v>
      </c>
      <c r="B134" s="72">
        <v>0.65</v>
      </c>
      <c r="C134" s="45">
        <v>5</v>
      </c>
      <c r="D134" s="64">
        <f>(B134*People!B11)*C134</f>
        <v>32.5</v>
      </c>
      <c r="E134" s="65"/>
      <c r="F134" s="73"/>
      <c r="G134" s="67">
        <f>(E134+F134)*People!C3</f>
        <v>0</v>
      </c>
      <c r="H134" s="68">
        <f>IF(G134=0, B134*J134, D134*G134)</f>
        <v>1083.7125000000001</v>
      </c>
      <c r="J134" s="69">
        <f>IF(C134=1,People!$D$12)+IF(C134=2,People!$E$12)+IF(C134=3,People!$F$12)+IF(C134=4,People!$G$12)+IF(C134=5,People!$H$12)+IF(C134=6,People!$I$12)+IF(C134=7,People!$J$12)+IF(C134=8,People!$K$12)</f>
        <v>1667.25</v>
      </c>
    </row>
    <row r="135" spans="1:10" ht="12" customHeight="1">
      <c r="A135" s="87"/>
      <c r="B135"/>
      <c r="C135"/>
      <c r="D135"/>
      <c r="E135"/>
      <c r="F135"/>
      <c r="G135" s="67"/>
      <c r="H135" s="68"/>
      <c r="J135" s="69"/>
    </row>
    <row r="136" spans="1:10" ht="12" customHeight="1">
      <c r="B136" s="91"/>
      <c r="C136" s="91" t="s">
        <v>106</v>
      </c>
      <c r="E136" s="95" t="s">
        <v>92</v>
      </c>
      <c r="G136" s="91" t="s">
        <v>107</v>
      </c>
    </row>
    <row r="137" spans="1:10" ht="12" customHeight="1">
      <c r="A137" s="87" t="s">
        <v>108</v>
      </c>
      <c r="B137"/>
      <c r="C137" s="152">
        <v>1</v>
      </c>
      <c r="D137" s="98"/>
      <c r="E137" s="35">
        <v>1</v>
      </c>
      <c r="F137" s="97"/>
      <c r="G137" s="130">
        <v>25.5</v>
      </c>
      <c r="H137" s="116">
        <f>C137*E137*G137*B108</f>
        <v>408</v>
      </c>
    </row>
    <row r="138" spans="1:10" ht="12" customHeight="1">
      <c r="A138" s="87"/>
      <c r="B138"/>
      <c r="C138"/>
      <c r="D138" s="64"/>
      <c r="E138"/>
      <c r="F138"/>
      <c r="G138" s="67"/>
      <c r="H138" s="68"/>
    </row>
    <row r="139" spans="1:10" ht="12" customHeight="1">
      <c r="A139" s="87" t="s">
        <v>109</v>
      </c>
      <c r="C139" s="120">
        <v>1</v>
      </c>
      <c r="D139" s="47"/>
      <c r="E139" s="121">
        <v>5</v>
      </c>
      <c r="F139" s="39"/>
      <c r="G139" s="99">
        <v>13</v>
      </c>
      <c r="H139" s="116">
        <f>C139*E139*G139*B108</f>
        <v>1040</v>
      </c>
    </row>
    <row r="140" spans="1:10" ht="12" customHeight="1">
      <c r="A140" s="87"/>
      <c r="B140"/>
      <c r="C140"/>
      <c r="D140"/>
      <c r="E140"/>
      <c r="F140"/>
      <c r="G140"/>
      <c r="H140" s="51"/>
    </row>
    <row r="141" spans="1:10" ht="12" customHeight="1">
      <c r="A141" s="87"/>
      <c r="B141"/>
      <c r="C141" s="95" t="s">
        <v>110</v>
      </c>
      <c r="D141"/>
      <c r="E141"/>
      <c r="F141"/>
      <c r="G141"/>
      <c r="H141" s="51"/>
    </row>
    <row r="142" spans="1:10" ht="12" customHeight="1">
      <c r="A142" s="87" t="s">
        <v>111</v>
      </c>
      <c r="B142"/>
      <c r="C142" s="146">
        <v>0</v>
      </c>
      <c r="D142"/>
      <c r="E142" s="145">
        <v>0</v>
      </c>
      <c r="F142"/>
      <c r="G142" s="148">
        <v>75</v>
      </c>
      <c r="H142" s="51">
        <f>C142*E142*G142</f>
        <v>0</v>
      </c>
    </row>
    <row r="143" spans="1:10" ht="12" customHeight="1">
      <c r="A143" s="87"/>
      <c r="B143"/>
      <c r="D143" s="147"/>
      <c r="E143"/>
      <c r="F143"/>
      <c r="G143"/>
      <c r="H143" s="51"/>
    </row>
    <row r="144" spans="1:10" ht="12" customHeight="1">
      <c r="A144" s="87"/>
      <c r="B144"/>
      <c r="C144" s="95" t="s">
        <v>78</v>
      </c>
      <c r="D144"/>
      <c r="E144"/>
      <c r="F144"/>
      <c r="G144"/>
      <c r="H144" s="51"/>
    </row>
    <row r="145" spans="1:8" ht="12" customHeight="1">
      <c r="A145" s="87" t="s">
        <v>112</v>
      </c>
      <c r="C145" s="52">
        <v>0</v>
      </c>
      <c r="D145" s="47"/>
      <c r="E145" s="52">
        <v>0</v>
      </c>
      <c r="F145" s="39"/>
      <c r="G145" s="99">
        <v>125</v>
      </c>
      <c r="H145" s="116">
        <f>C145*E145*G145</f>
        <v>0</v>
      </c>
    </row>
    <row r="147" spans="1:8" ht="12" customHeight="1">
      <c r="A147" s="33" t="s">
        <v>18</v>
      </c>
      <c r="B147" s="33"/>
      <c r="C147" s="34"/>
      <c r="D147" s="34"/>
      <c r="E147" s="34"/>
      <c r="F147" s="34"/>
      <c r="G147" s="34"/>
      <c r="H147" s="33" t="s">
        <v>18</v>
      </c>
    </row>
    <row r="148" spans="1:8" ht="12" customHeight="1">
      <c r="A148" s="74" t="s">
        <v>93</v>
      </c>
      <c r="B148" s="48">
        <f>D116+D118+D120+D122+D124+D126+D128+D130+D132+D134+(C142*E142)+((C137*E137)+(C139*E139))*B108</f>
        <v>446</v>
      </c>
      <c r="C148" s="74" t="s">
        <v>113</v>
      </c>
      <c r="D148" s="75">
        <f>SUM(B116:B137)</f>
        <v>7</v>
      </c>
      <c r="E148" s="59"/>
      <c r="F148" s="59"/>
      <c r="G148" s="60" t="s">
        <v>114</v>
      </c>
      <c r="H148" s="61">
        <f>SUM(H116:H145)</f>
        <v>13118.749999999998</v>
      </c>
    </row>
    <row r="150" spans="1:8" ht="12" customHeight="1">
      <c r="A150" s="87" t="s">
        <v>115</v>
      </c>
      <c r="G150" s="114"/>
      <c r="H150" s="38"/>
    </row>
    <row r="151" spans="1:8" ht="12" customHeight="1">
      <c r="A151" s="33" t="s">
        <v>18</v>
      </c>
      <c r="B151" s="33"/>
      <c r="C151" s="33"/>
    </row>
    <row r="152" spans="1:8" ht="12" customHeight="1">
      <c r="A152" s="87"/>
      <c r="B152" s="87" t="s">
        <v>116</v>
      </c>
      <c r="C152" s="87" t="s">
        <v>117</v>
      </c>
      <c r="D152" s="87" t="s">
        <v>19</v>
      </c>
      <c r="E152" s="87" t="s">
        <v>20</v>
      </c>
      <c r="F152" s="87" t="s">
        <v>118</v>
      </c>
      <c r="H152" s="151" t="s">
        <v>23</v>
      </c>
    </row>
    <row r="153" spans="1:8" ht="12" customHeight="1">
      <c r="A153" s="87"/>
      <c r="B153" s="87"/>
      <c r="C153" s="87"/>
      <c r="D153" s="87"/>
      <c r="E153" s="87"/>
      <c r="F153" s="87"/>
    </row>
    <row r="154" spans="1:8" ht="12" customHeight="1">
      <c r="A154" s="87" t="s">
        <v>119</v>
      </c>
      <c r="B154" s="54"/>
      <c r="C154" s="76">
        <v>15</v>
      </c>
      <c r="D154" s="77" t="s">
        <v>120</v>
      </c>
      <c r="E154" s="78">
        <f>C12</f>
        <v>11058</v>
      </c>
      <c r="F154" s="79">
        <v>0.15</v>
      </c>
      <c r="H154" s="38">
        <f>E154*F154</f>
        <v>1658.7</v>
      </c>
    </row>
    <row r="156" spans="1:8" ht="12" customHeight="1">
      <c r="A156" s="87" t="s">
        <v>121</v>
      </c>
      <c r="E156" s="153" t="s">
        <v>23</v>
      </c>
      <c r="F156" s="80">
        <v>0</v>
      </c>
      <c r="H156" s="38">
        <f>F156</f>
        <v>0</v>
      </c>
    </row>
    <row r="158" spans="1:8" ht="12" customHeight="1">
      <c r="A158" s="87" t="s">
        <v>122</v>
      </c>
      <c r="B158" s="81" t="s">
        <v>123</v>
      </c>
      <c r="C158" s="81"/>
      <c r="D158" s="81"/>
      <c r="E158" s="153" t="s">
        <v>23</v>
      </c>
      <c r="F158" s="80">
        <v>0</v>
      </c>
      <c r="H158" s="38">
        <f>F158</f>
        <v>0</v>
      </c>
    </row>
    <row r="160" spans="1:8" ht="12" customHeight="1">
      <c r="A160" s="33"/>
      <c r="B160" s="33"/>
      <c r="C160" s="34"/>
      <c r="D160" s="34"/>
      <c r="E160" s="34"/>
      <c r="F160" s="34"/>
      <c r="G160" s="34"/>
      <c r="H160" s="33" t="s">
        <v>18</v>
      </c>
    </row>
    <row r="161" spans="1:8" ht="12" customHeight="1">
      <c r="B161" s="31"/>
      <c r="C161" s="31"/>
      <c r="D161" s="154"/>
      <c r="E161" s="155"/>
      <c r="F161" s="155"/>
      <c r="G161" s="60" t="s">
        <v>124</v>
      </c>
      <c r="H161" s="156">
        <f>SUM(H154+H156+H158)</f>
        <v>1658.7</v>
      </c>
    </row>
    <row r="162" spans="1:8" ht="12" customHeight="1">
      <c r="A162" s="33"/>
      <c r="B162" s="33"/>
      <c r="C162" s="34"/>
      <c r="D162" s="34"/>
      <c r="E162" s="34"/>
      <c r="F162" s="34"/>
      <c r="G162" s="34"/>
      <c r="H162" s="33" t="s">
        <v>18</v>
      </c>
    </row>
    <row r="163" spans="1:8" ht="12" customHeight="1">
      <c r="A163" s="7" t="s">
        <v>125</v>
      </c>
      <c r="C163" s="34"/>
      <c r="D163" s="31"/>
      <c r="H163" s="89">
        <f>H110+H148+H161</f>
        <v>27429.186538461538</v>
      </c>
    </row>
    <row r="165" spans="1:8" ht="12" customHeight="1">
      <c r="A165" s="7" t="s">
        <v>126</v>
      </c>
      <c r="E165" s="114" t="s">
        <v>127</v>
      </c>
      <c r="F165" s="49">
        <v>35</v>
      </c>
      <c r="H165" s="133">
        <f>H163*(F165/100)</f>
        <v>9600.2152884615371</v>
      </c>
    </row>
    <row r="166" spans="1:8" ht="12" customHeight="1">
      <c r="H166" s="82"/>
    </row>
    <row r="167" spans="1:8" ht="12" customHeight="1">
      <c r="A167" s="7" t="s">
        <v>128</v>
      </c>
      <c r="E167" s="114" t="s">
        <v>127</v>
      </c>
      <c r="F167" s="49">
        <v>16.25</v>
      </c>
      <c r="H167" s="134">
        <f>(H163+H165)*(F167/100)</f>
        <v>6017.2777968749997</v>
      </c>
    </row>
    <row r="168" spans="1:8" ht="12" customHeight="1">
      <c r="H168" s="33" t="s">
        <v>18</v>
      </c>
    </row>
    <row r="169" spans="1:8" ht="12" customHeight="1">
      <c r="A169" s="7" t="s">
        <v>129</v>
      </c>
      <c r="H169" s="89">
        <f>H111+H163+H165+H167</f>
        <v>43805.783816105766</v>
      </c>
    </row>
    <row r="170" spans="1:8" ht="12" customHeight="1">
      <c r="A170" s="7" t="s">
        <v>130</v>
      </c>
      <c r="F170" s="168">
        <v>47300</v>
      </c>
      <c r="H170" s="132">
        <f>H169+SUM(F172:F181)</f>
        <v>47255.783816105766</v>
      </c>
    </row>
    <row r="171" spans="1:8" ht="12" customHeight="1">
      <c r="H171" s="33" t="s">
        <v>18</v>
      </c>
    </row>
    <row r="172" spans="1:8" s="83" customFormat="1" ht="12" customHeight="1">
      <c r="A172" s="17"/>
      <c r="B172" s="17"/>
      <c r="C172" s="17"/>
      <c r="D172" s="17"/>
      <c r="E172" s="17"/>
      <c r="F172" s="17"/>
      <c r="G172" s="17"/>
      <c r="H172" s="33"/>
    </row>
    <row r="173" spans="1:8" ht="12" customHeight="1">
      <c r="A173" s="87" t="s">
        <v>131</v>
      </c>
      <c r="F173" s="90">
        <v>700</v>
      </c>
      <c r="H173" s="33"/>
    </row>
    <row r="174" spans="1:8" ht="12" customHeight="1">
      <c r="A174" s="87" t="s">
        <v>132</v>
      </c>
      <c r="F174" s="85">
        <v>400</v>
      </c>
      <c r="H174" s="33"/>
    </row>
    <row r="175" spans="1:8" ht="12" customHeight="1">
      <c r="A175" s="87" t="s">
        <v>133</v>
      </c>
      <c r="B175" s="83"/>
      <c r="C175" s="83"/>
      <c r="D175" s="83"/>
      <c r="E175" s="83"/>
      <c r="F175" s="84">
        <v>600</v>
      </c>
      <c r="G175" s="83"/>
      <c r="H175" s="83"/>
    </row>
    <row r="176" spans="1:8" ht="12" customHeight="1">
      <c r="A176" s="87" t="s">
        <v>134</v>
      </c>
      <c r="B176" s="87"/>
      <c r="F176" s="85">
        <v>1750</v>
      </c>
      <c r="H176" s="33"/>
    </row>
    <row r="177" spans="1:9" s="83" customFormat="1" ht="12" customHeight="1">
      <c r="A177" s="87" t="s">
        <v>135</v>
      </c>
      <c r="B177" s="87"/>
      <c r="C177" s="17"/>
      <c r="D177" s="17"/>
      <c r="E177" s="17"/>
      <c r="F177" s="85"/>
      <c r="G177" s="17"/>
      <c r="H177" s="33"/>
    </row>
    <row r="178" spans="1:9" ht="12" customHeight="1">
      <c r="A178" s="87" t="s">
        <v>135</v>
      </c>
      <c r="B178" s="87"/>
      <c r="F178" s="85"/>
      <c r="H178" s="33"/>
    </row>
    <row r="179" spans="1:9" ht="12" customHeight="1">
      <c r="A179" s="87" t="s">
        <v>135</v>
      </c>
      <c r="B179" s="87"/>
      <c r="F179" s="85"/>
      <c r="H179" s="33"/>
    </row>
    <row r="180" spans="1:9" ht="12" customHeight="1">
      <c r="A180" s="7" t="s">
        <v>135</v>
      </c>
      <c r="B180" s="83"/>
      <c r="C180" s="83"/>
      <c r="D180" s="83"/>
      <c r="E180" s="83"/>
      <c r="F180" s="143"/>
      <c r="G180" s="83"/>
      <c r="H180" s="83"/>
    </row>
    <row r="181" spans="1:9" ht="12" customHeight="1">
      <c r="H181" s="33"/>
    </row>
    <row r="182" spans="1:9" ht="12" customHeight="1">
      <c r="A182" s="157" t="s">
        <v>136</v>
      </c>
      <c r="F182" s="18"/>
      <c r="H182" s="158"/>
    </row>
    <row r="184" spans="1:9" ht="12" customHeight="1">
      <c r="A184" s="15" t="s">
        <v>137</v>
      </c>
      <c r="B184" s="13">
        <f>H170/C12</f>
        <v>4.2734476230878791</v>
      </c>
      <c r="C184" s="14" t="s">
        <v>138</v>
      </c>
      <c r="D184" s="16">
        <f>SUM((G19+G20+G21)/1000)</f>
        <v>0.49903846153846154</v>
      </c>
      <c r="F184" s="18"/>
      <c r="G184" s="19"/>
      <c r="H184" s="158"/>
    </row>
    <row r="189" spans="1:9" ht="12" customHeight="1">
      <c r="I189"/>
    </row>
    <row r="190" spans="1:9" ht="12" customHeight="1">
      <c r="I190"/>
    </row>
    <row r="191" spans="1:9" ht="12" customHeight="1">
      <c r="I191"/>
    </row>
    <row r="192" spans="1:9" ht="12" customHeight="1">
      <c r="A192"/>
      <c r="B192"/>
      <c r="C192"/>
      <c r="D192"/>
      <c r="E192"/>
      <c r="F192"/>
      <c r="G192"/>
      <c r="H192"/>
      <c r="I192"/>
    </row>
    <row r="193" spans="1:9" ht="12" customHeight="1">
      <c r="A193"/>
      <c r="B193"/>
      <c r="C193"/>
      <c r="D193"/>
      <c r="E193"/>
      <c r="F193"/>
      <c r="G193"/>
      <c r="H193"/>
      <c r="I193"/>
    </row>
    <row r="194" spans="1:9" ht="12" customHeight="1">
      <c r="A194"/>
      <c r="B194"/>
      <c r="C194"/>
      <c r="D194"/>
      <c r="E194"/>
      <c r="F194"/>
      <c r="G194"/>
      <c r="H194"/>
    </row>
    <row r="195" spans="1:9" ht="12" customHeight="1">
      <c r="A195"/>
      <c r="B195"/>
      <c r="C195"/>
      <c r="D195"/>
      <c r="E195"/>
      <c r="F195"/>
      <c r="G195"/>
      <c r="H195"/>
    </row>
    <row r="196" spans="1:9" ht="12" customHeight="1">
      <c r="A196"/>
      <c r="B196"/>
      <c r="C196"/>
      <c r="D196"/>
      <c r="E196"/>
      <c r="F196"/>
      <c r="G196"/>
      <c r="H196"/>
    </row>
  </sheetData>
  <mergeCells count="3">
    <mergeCell ref="G1:H1"/>
    <mergeCell ref="G2:H2"/>
    <mergeCell ref="G3:H3"/>
  </mergeCells>
  <phoneticPr fontId="5" type="noConversion"/>
  <printOptions gridLinesSet="0"/>
  <pageMargins left="0.25" right="0.25" top="0.75" bottom="0.75" header="0.3" footer="0.3"/>
  <pageSetup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2" workbookViewId="0">
      <selection activeCell="B11" sqref="B11"/>
    </sheetView>
  </sheetViews>
  <sheetFormatPr defaultRowHeight="12.75"/>
  <cols>
    <col min="1" max="1" width="24.42578125" customWidth="1"/>
    <col min="5" max="5" width="9.7109375" customWidth="1"/>
  </cols>
  <sheetData>
    <row r="1" spans="1:13">
      <c r="E1" s="170" t="s">
        <v>139</v>
      </c>
      <c r="F1" s="171"/>
      <c r="G1" s="171"/>
      <c r="H1" s="171"/>
      <c r="I1" s="171"/>
      <c r="J1" s="171"/>
      <c r="K1" s="172"/>
    </row>
    <row r="2" spans="1:13" s="1" customFormat="1" ht="25.5">
      <c r="A2" s="159" t="s">
        <v>140</v>
      </c>
      <c r="B2" s="160" t="s">
        <v>141</v>
      </c>
      <c r="C2" s="160" t="s">
        <v>142</v>
      </c>
      <c r="D2" s="160">
        <v>1</v>
      </c>
      <c r="E2" s="160">
        <v>2</v>
      </c>
      <c r="F2" s="160">
        <v>3</v>
      </c>
      <c r="G2" s="160">
        <v>4</v>
      </c>
      <c r="H2" s="160">
        <v>5</v>
      </c>
      <c r="I2" s="160">
        <v>6</v>
      </c>
      <c r="J2" s="160">
        <v>7</v>
      </c>
      <c r="K2" s="160">
        <v>8</v>
      </c>
      <c r="L2" s="161"/>
      <c r="M2" s="161"/>
    </row>
    <row r="3" spans="1:13">
      <c r="A3" s="2" t="s">
        <v>143</v>
      </c>
      <c r="B3" s="11">
        <v>33</v>
      </c>
      <c r="C3" s="12">
        <v>1.35</v>
      </c>
      <c r="D3" s="96">
        <f>B3*C3</f>
        <v>44.550000000000004</v>
      </c>
      <c r="E3" s="9">
        <f>B3*C3</f>
        <v>44.550000000000004</v>
      </c>
      <c r="F3" s="9">
        <f>B3*C3</f>
        <v>44.550000000000004</v>
      </c>
      <c r="G3" s="9">
        <f>B3*C3</f>
        <v>44.550000000000004</v>
      </c>
      <c r="H3" s="9">
        <f>B3*C3</f>
        <v>44.550000000000004</v>
      </c>
      <c r="I3" s="9">
        <f t="shared" ref="I3:I8" si="0">B3*C3</f>
        <v>44.550000000000004</v>
      </c>
      <c r="J3" s="9">
        <f t="shared" ref="J3:J9" si="1">B3*C3</f>
        <v>44.550000000000004</v>
      </c>
      <c r="K3" s="9">
        <f t="shared" ref="K3:K10" si="2">B3*C3</f>
        <v>44.550000000000004</v>
      </c>
      <c r="L3" s="4"/>
      <c r="M3" s="93"/>
    </row>
    <row r="4" spans="1:13">
      <c r="A4" s="2" t="s">
        <v>144</v>
      </c>
      <c r="B4" s="11">
        <v>26</v>
      </c>
      <c r="C4" s="12">
        <v>1.35</v>
      </c>
      <c r="D4" s="10"/>
      <c r="E4" s="9">
        <f>B4*C4</f>
        <v>35.1</v>
      </c>
      <c r="F4" s="9">
        <f>B4*C4</f>
        <v>35.1</v>
      </c>
      <c r="G4" s="9">
        <f>B4*C4</f>
        <v>35.1</v>
      </c>
      <c r="H4" s="9">
        <f>B4*C4</f>
        <v>35.1</v>
      </c>
      <c r="I4" s="9">
        <f t="shared" si="0"/>
        <v>35.1</v>
      </c>
      <c r="J4" s="9">
        <f t="shared" si="1"/>
        <v>35.1</v>
      </c>
      <c r="K4" s="9">
        <f t="shared" si="2"/>
        <v>35.1</v>
      </c>
    </row>
    <row r="5" spans="1:13">
      <c r="A5" s="2" t="s">
        <v>145</v>
      </c>
      <c r="B5" s="11">
        <v>23.5</v>
      </c>
      <c r="C5" s="12">
        <v>1.35</v>
      </c>
      <c r="D5" s="10"/>
      <c r="E5" s="10"/>
      <c r="F5" s="9">
        <f>B5*C5</f>
        <v>31.725000000000001</v>
      </c>
      <c r="G5" s="9">
        <f>B5*C5</f>
        <v>31.725000000000001</v>
      </c>
      <c r="H5" s="9">
        <f>B5*C5</f>
        <v>31.725000000000001</v>
      </c>
      <c r="I5" s="9">
        <f t="shared" si="0"/>
        <v>31.725000000000001</v>
      </c>
      <c r="J5" s="9">
        <f t="shared" si="1"/>
        <v>31.725000000000001</v>
      </c>
      <c r="K5" s="9">
        <f t="shared" si="2"/>
        <v>31.725000000000001</v>
      </c>
    </row>
    <row r="6" spans="1:13">
      <c r="A6" s="2" t="s">
        <v>146</v>
      </c>
      <c r="B6" s="11">
        <v>21</v>
      </c>
      <c r="C6" s="12">
        <v>1.35</v>
      </c>
      <c r="D6" s="10"/>
      <c r="E6" s="10"/>
      <c r="F6" s="10"/>
      <c r="G6" s="9">
        <f>B6*C6</f>
        <v>28.35</v>
      </c>
      <c r="H6" s="9">
        <f>B6*C6</f>
        <v>28.35</v>
      </c>
      <c r="I6" s="9">
        <f t="shared" si="0"/>
        <v>28.35</v>
      </c>
      <c r="J6" s="9">
        <f t="shared" si="1"/>
        <v>28.35</v>
      </c>
      <c r="K6" s="9">
        <f t="shared" si="2"/>
        <v>28.35</v>
      </c>
    </row>
    <row r="7" spans="1:13">
      <c r="A7" s="2" t="s">
        <v>147</v>
      </c>
      <c r="B7" s="11">
        <v>20</v>
      </c>
      <c r="C7" s="12">
        <v>1.35</v>
      </c>
      <c r="D7" s="10"/>
      <c r="E7" s="10"/>
      <c r="F7" s="10"/>
      <c r="G7" s="10"/>
      <c r="H7" s="9">
        <f>B7*C7</f>
        <v>27</v>
      </c>
      <c r="I7" s="9">
        <f t="shared" si="0"/>
        <v>27</v>
      </c>
      <c r="J7" s="9">
        <f t="shared" si="1"/>
        <v>27</v>
      </c>
      <c r="K7" s="9">
        <f t="shared" si="2"/>
        <v>27</v>
      </c>
    </row>
    <row r="8" spans="1:13">
      <c r="A8" s="2" t="s">
        <v>147</v>
      </c>
      <c r="B8" s="11">
        <v>20</v>
      </c>
      <c r="C8" s="12">
        <v>1.35</v>
      </c>
      <c r="D8" s="10"/>
      <c r="E8" s="10"/>
      <c r="F8" s="10"/>
      <c r="G8" s="10"/>
      <c r="H8" s="10"/>
      <c r="I8" s="9">
        <f t="shared" si="0"/>
        <v>27</v>
      </c>
      <c r="J8" s="9">
        <f t="shared" si="1"/>
        <v>27</v>
      </c>
      <c r="K8" s="9">
        <f t="shared" si="2"/>
        <v>27</v>
      </c>
    </row>
    <row r="9" spans="1:13">
      <c r="A9" s="2" t="s">
        <v>147</v>
      </c>
      <c r="B9" s="11">
        <v>18</v>
      </c>
      <c r="C9" s="12">
        <v>1.35</v>
      </c>
      <c r="D9" s="10"/>
      <c r="E9" s="10"/>
      <c r="F9" s="10"/>
      <c r="G9" s="10"/>
      <c r="H9" s="10"/>
      <c r="I9" s="10"/>
      <c r="J9" s="9">
        <f t="shared" si="1"/>
        <v>24.3</v>
      </c>
      <c r="K9" s="9">
        <f t="shared" si="2"/>
        <v>24.3</v>
      </c>
    </row>
    <row r="10" spans="1:13">
      <c r="A10" s="2" t="s">
        <v>147</v>
      </c>
      <c r="B10" s="11">
        <v>18</v>
      </c>
      <c r="C10" s="12">
        <v>1.35</v>
      </c>
      <c r="D10" s="10"/>
      <c r="E10" s="10"/>
      <c r="F10" s="10"/>
      <c r="G10" s="10"/>
      <c r="H10" s="10"/>
      <c r="I10" s="10"/>
      <c r="J10" s="10"/>
      <c r="K10" s="9">
        <f t="shared" si="2"/>
        <v>24.3</v>
      </c>
    </row>
    <row r="11" spans="1:13">
      <c r="A11" s="8" t="s">
        <v>148</v>
      </c>
      <c r="B11" s="12">
        <v>10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3" s="3" customFormat="1">
      <c r="A12" s="162" t="s">
        <v>149</v>
      </c>
      <c r="B12" s="163"/>
      <c r="C12" s="163"/>
      <c r="D12" s="164">
        <f>SUM(D3:D10)*B11</f>
        <v>445.50000000000006</v>
      </c>
      <c r="E12" s="164">
        <f>SUM(E3:E10)*B11</f>
        <v>796.5</v>
      </c>
      <c r="F12" s="164">
        <f>SUM(F3:F10)*B11</f>
        <v>1113.75</v>
      </c>
      <c r="G12" s="164">
        <f>SUM(G3:G10)*B11</f>
        <v>1397.25</v>
      </c>
      <c r="H12" s="164">
        <f>SUM(H3:H10)*B11</f>
        <v>1667.25</v>
      </c>
      <c r="I12" s="164">
        <f>SUM(I3:I10)*B11</f>
        <v>1937.25</v>
      </c>
      <c r="J12" s="164">
        <f>SUM(J3:J10)*B11</f>
        <v>2180.25</v>
      </c>
      <c r="K12" s="164">
        <f>SUM(K3:K10)*B11</f>
        <v>2423.25</v>
      </c>
      <c r="L12" s="165"/>
      <c r="M12" s="165"/>
    </row>
    <row r="15" spans="1:13">
      <c r="A15" s="92" t="s">
        <v>150</v>
      </c>
      <c r="B15" s="94" t="s">
        <v>151</v>
      </c>
      <c r="C15" s="94" t="s">
        <v>152</v>
      </c>
      <c r="D15" s="94"/>
    </row>
    <row r="16" spans="1:13">
      <c r="A16" t="s">
        <v>153</v>
      </c>
      <c r="B16" s="149">
        <v>33</v>
      </c>
      <c r="C16" s="4">
        <v>20</v>
      </c>
      <c r="D16" s="4"/>
    </row>
    <row r="17" spans="1:11">
      <c r="A17" t="s">
        <v>154</v>
      </c>
      <c r="B17" s="149">
        <v>28</v>
      </c>
      <c r="C17" s="4">
        <v>20</v>
      </c>
      <c r="D17" s="4"/>
    </row>
    <row r="18" spans="1:11">
      <c r="A18" t="s">
        <v>155</v>
      </c>
      <c r="B18" s="86">
        <v>28</v>
      </c>
      <c r="C18" s="4">
        <v>20</v>
      </c>
      <c r="D18" s="4"/>
    </row>
    <row r="19" spans="1:11">
      <c r="A19" t="s">
        <v>156</v>
      </c>
      <c r="B19" s="86">
        <v>25</v>
      </c>
      <c r="C19" s="4">
        <v>10</v>
      </c>
      <c r="D19" s="4"/>
    </row>
    <row r="20" spans="1:11">
      <c r="D20" s="4"/>
    </row>
    <row r="21" spans="1:11">
      <c r="A21" s="92" t="s">
        <v>157</v>
      </c>
      <c r="B21" s="94" t="s">
        <v>151</v>
      </c>
      <c r="C21" s="94" t="s">
        <v>152</v>
      </c>
      <c r="D21" s="4"/>
      <c r="H21" s="93"/>
    </row>
    <row r="22" spans="1:11">
      <c r="A22" t="s">
        <v>158</v>
      </c>
      <c r="B22" s="86">
        <v>28</v>
      </c>
      <c r="C22" s="4">
        <v>10</v>
      </c>
      <c r="D22" s="4"/>
      <c r="H22" s="93"/>
      <c r="J22" s="86"/>
      <c r="K22" s="4"/>
    </row>
    <row r="23" spans="1:11">
      <c r="A23" t="s">
        <v>159</v>
      </c>
      <c r="B23" s="86">
        <v>25</v>
      </c>
      <c r="C23" s="4">
        <v>20</v>
      </c>
      <c r="D23" s="4"/>
      <c r="H23" s="93"/>
      <c r="J23" s="86"/>
      <c r="K23" s="4"/>
    </row>
    <row r="24" spans="1:11" ht="15">
      <c r="A24" s="150" t="s">
        <v>160</v>
      </c>
      <c r="B24" s="86">
        <v>25</v>
      </c>
      <c r="C24" s="4">
        <v>12.5</v>
      </c>
      <c r="D24" s="4"/>
      <c r="I24" s="150"/>
      <c r="J24" s="86"/>
      <c r="K24" s="4"/>
    </row>
    <row r="25" spans="1:11" ht="15">
      <c r="A25" s="150" t="s">
        <v>161</v>
      </c>
      <c r="B25" s="86">
        <v>23.5</v>
      </c>
      <c r="C25" s="4">
        <v>11.75</v>
      </c>
      <c r="D25" s="4"/>
      <c r="I25" s="150"/>
      <c r="J25" s="86"/>
      <c r="K25" s="4"/>
    </row>
    <row r="26" spans="1:11" ht="15">
      <c r="A26" s="150" t="s">
        <v>162</v>
      </c>
      <c r="B26" s="86">
        <v>23</v>
      </c>
      <c r="C26" s="4">
        <v>10</v>
      </c>
      <c r="D26" s="4"/>
      <c r="I26" s="150"/>
      <c r="J26" s="86"/>
      <c r="K26" s="4"/>
    </row>
    <row r="27" spans="1:11" ht="15">
      <c r="A27" s="150" t="s">
        <v>163</v>
      </c>
      <c r="B27" s="86">
        <v>23</v>
      </c>
      <c r="C27" s="4">
        <v>10</v>
      </c>
      <c r="I27" s="150"/>
      <c r="J27" s="86"/>
      <c r="K27" s="4"/>
    </row>
    <row r="28" spans="1:11" ht="15">
      <c r="A28" s="150" t="s">
        <v>164</v>
      </c>
      <c r="B28" s="86">
        <v>21</v>
      </c>
      <c r="C28" s="4">
        <v>8.75</v>
      </c>
      <c r="I28" s="150"/>
      <c r="J28" s="86"/>
      <c r="K28" s="4"/>
    </row>
    <row r="29" spans="1:11" ht="15">
      <c r="A29" s="150" t="s">
        <v>165</v>
      </c>
      <c r="B29" s="86">
        <v>20</v>
      </c>
      <c r="C29" s="4">
        <v>8</v>
      </c>
      <c r="I29" s="150"/>
      <c r="J29" s="86"/>
      <c r="K29" s="4"/>
    </row>
    <row r="30" spans="1:11" ht="15">
      <c r="A30" s="150" t="s">
        <v>166</v>
      </c>
      <c r="B30" s="86">
        <v>20</v>
      </c>
      <c r="C30" s="4">
        <v>10</v>
      </c>
      <c r="I30" s="150"/>
      <c r="J30" s="86"/>
      <c r="K30" s="4"/>
    </row>
    <row r="31" spans="1:11" ht="15">
      <c r="A31" s="150" t="s">
        <v>167</v>
      </c>
      <c r="B31" s="86">
        <v>20</v>
      </c>
      <c r="C31" s="4">
        <v>7.25</v>
      </c>
    </row>
    <row r="32" spans="1:11" ht="15">
      <c r="A32" s="150" t="s">
        <v>168</v>
      </c>
      <c r="B32" s="86">
        <v>19.5</v>
      </c>
      <c r="C32" s="4">
        <v>8</v>
      </c>
    </row>
    <row r="33" spans="1:3" ht="15">
      <c r="A33" s="150" t="s">
        <v>169</v>
      </c>
      <c r="B33" s="86">
        <v>19</v>
      </c>
      <c r="C33" s="4">
        <v>7.25</v>
      </c>
    </row>
    <row r="34" spans="1:3" ht="15">
      <c r="A34" s="150" t="s">
        <v>170</v>
      </c>
      <c r="B34" s="86">
        <v>18.5</v>
      </c>
      <c r="C34" s="4">
        <v>8</v>
      </c>
    </row>
    <row r="35" spans="1:3" ht="15">
      <c r="A35" s="150"/>
      <c r="B35" s="86"/>
      <c r="C35" s="4"/>
    </row>
    <row r="36" spans="1:3" ht="15">
      <c r="A36" s="150"/>
      <c r="B36" s="86"/>
      <c r="C36" s="4"/>
    </row>
    <row r="37" spans="1:3">
      <c r="A37" s="92" t="s">
        <v>171</v>
      </c>
      <c r="B37" s="94" t="s">
        <v>151</v>
      </c>
      <c r="C37" s="94" t="s">
        <v>152</v>
      </c>
    </row>
    <row r="38" spans="1:3" ht="15">
      <c r="A38" s="150" t="s">
        <v>172</v>
      </c>
      <c r="B38" s="86">
        <v>19</v>
      </c>
      <c r="C38" s="4">
        <v>7.25</v>
      </c>
    </row>
    <row r="39" spans="1:3" ht="15">
      <c r="A39" s="150" t="s">
        <v>173</v>
      </c>
      <c r="B39" s="86">
        <v>18</v>
      </c>
      <c r="C39" s="4">
        <v>7.25</v>
      </c>
    </row>
    <row r="40" spans="1:3" ht="15">
      <c r="A40" s="150" t="s">
        <v>174</v>
      </c>
      <c r="B40" s="86">
        <v>18</v>
      </c>
      <c r="C40" s="4">
        <v>7.25</v>
      </c>
    </row>
    <row r="41" spans="1:3" ht="15">
      <c r="A41" s="150" t="s">
        <v>175</v>
      </c>
      <c r="B41" s="86">
        <v>18</v>
      </c>
      <c r="C41" s="4">
        <v>7.25</v>
      </c>
    </row>
    <row r="42" spans="1:3" ht="15">
      <c r="A42" s="150" t="s">
        <v>176</v>
      </c>
      <c r="B42" s="86">
        <v>17</v>
      </c>
      <c r="C42" s="4">
        <v>7.25</v>
      </c>
    </row>
    <row r="43" spans="1:3" ht="15">
      <c r="A43" s="150" t="s">
        <v>177</v>
      </c>
      <c r="B43" s="86">
        <v>17</v>
      </c>
      <c r="C43" s="4">
        <v>7.25</v>
      </c>
    </row>
  </sheetData>
  <mergeCells count="1">
    <mergeCell ref="E1:K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D22" sqref="D22"/>
    </sheetView>
  </sheetViews>
  <sheetFormatPr defaultRowHeight="12.75"/>
  <cols>
    <col min="1" max="1" width="15" customWidth="1"/>
    <col min="2" max="2" width="11.28515625" customWidth="1"/>
    <col min="3" max="3" width="12" style="4" customWidth="1"/>
    <col min="4" max="4" width="11.28515625" customWidth="1"/>
  </cols>
  <sheetData>
    <row r="1" spans="1:5" s="5" customFormat="1">
      <c r="A1" s="95" t="s">
        <v>178</v>
      </c>
      <c r="B1" s="95"/>
      <c r="C1" s="106" t="s">
        <v>179</v>
      </c>
      <c r="D1" s="95" t="s">
        <v>180</v>
      </c>
      <c r="E1" s="95" t="s">
        <v>181</v>
      </c>
    </row>
    <row r="2" spans="1:5">
      <c r="A2" t="s">
        <v>182</v>
      </c>
      <c r="C2" s="4">
        <v>190</v>
      </c>
      <c r="D2">
        <v>55</v>
      </c>
      <c r="E2" s="4">
        <f>C2/D2</f>
        <v>3.4545454545454546</v>
      </c>
    </row>
    <row r="3" spans="1:5">
      <c r="A3" t="s">
        <v>183</v>
      </c>
      <c r="C3" s="4">
        <v>260</v>
      </c>
      <c r="D3">
        <v>55</v>
      </c>
      <c r="E3" s="4">
        <f>C3/D3</f>
        <v>4.7272727272727275</v>
      </c>
    </row>
    <row r="5" spans="1:5">
      <c r="A5" s="95" t="s">
        <v>69</v>
      </c>
      <c r="B5" s="95" t="s">
        <v>68</v>
      </c>
      <c r="C5" s="106" t="s">
        <v>179</v>
      </c>
      <c r="D5" s="95" t="s">
        <v>180</v>
      </c>
    </row>
    <row r="6" spans="1:5">
      <c r="A6" s="93"/>
      <c r="B6" s="93" t="s">
        <v>184</v>
      </c>
      <c r="C6" s="118">
        <v>26.73</v>
      </c>
      <c r="D6">
        <v>300</v>
      </c>
    </row>
    <row r="7" spans="1:5">
      <c r="A7" s="104"/>
      <c r="B7" s="93" t="s">
        <v>185</v>
      </c>
      <c r="C7" s="107">
        <v>37</v>
      </c>
      <c r="D7">
        <v>300</v>
      </c>
    </row>
    <row r="8" spans="1:5">
      <c r="A8" s="104"/>
      <c r="B8" s="93" t="s">
        <v>186</v>
      </c>
      <c r="C8" s="107">
        <v>44</v>
      </c>
      <c r="D8">
        <v>300</v>
      </c>
    </row>
    <row r="9" spans="1:5">
      <c r="A9" s="104"/>
      <c r="B9" s="93" t="s">
        <v>187</v>
      </c>
      <c r="C9" s="118">
        <v>53.03</v>
      </c>
      <c r="D9">
        <v>300</v>
      </c>
    </row>
    <row r="10" spans="1:5">
      <c r="A10" s="104"/>
      <c r="B10" s="93" t="s">
        <v>188</v>
      </c>
      <c r="C10" s="118">
        <v>79.17</v>
      </c>
      <c r="D10">
        <v>300</v>
      </c>
    </row>
    <row r="11" spans="1:5">
      <c r="A11" s="104"/>
      <c r="B11" s="93" t="s">
        <v>189</v>
      </c>
      <c r="C11" s="107">
        <v>120</v>
      </c>
      <c r="D11">
        <v>300</v>
      </c>
    </row>
    <row r="12" spans="1:5">
      <c r="A12" s="104"/>
      <c r="B12" s="93" t="s">
        <v>190</v>
      </c>
      <c r="C12" s="107">
        <v>150</v>
      </c>
      <c r="D12">
        <v>300</v>
      </c>
    </row>
    <row r="14" spans="1:5" s="5" customFormat="1">
      <c r="A14" s="95" t="s">
        <v>191</v>
      </c>
      <c r="B14" s="95" t="s">
        <v>29</v>
      </c>
      <c r="C14" s="106" t="s">
        <v>179</v>
      </c>
      <c r="D14" s="95" t="s">
        <v>192</v>
      </c>
      <c r="E14" s="95" t="s">
        <v>180</v>
      </c>
    </row>
    <row r="15" spans="1:5">
      <c r="A15" t="s">
        <v>193</v>
      </c>
      <c r="B15" t="s">
        <v>194</v>
      </c>
      <c r="C15" s="107">
        <v>36.5</v>
      </c>
      <c r="E15" t="s">
        <v>195</v>
      </c>
    </row>
    <row r="16" spans="1:5">
      <c r="A16" t="s">
        <v>196</v>
      </c>
      <c r="B16" t="s">
        <v>197</v>
      </c>
      <c r="C16" s="4">
        <v>26.78</v>
      </c>
      <c r="D16" s="6">
        <v>24.5</v>
      </c>
      <c r="E16" t="s">
        <v>195</v>
      </c>
    </row>
    <row r="17" spans="1:5">
      <c r="A17" s="93" t="s">
        <v>198</v>
      </c>
      <c r="B17" s="93" t="s">
        <v>197</v>
      </c>
      <c r="C17" s="107">
        <v>30</v>
      </c>
      <c r="D17" s="110">
        <v>28</v>
      </c>
      <c r="E17" s="93" t="s">
        <v>195</v>
      </c>
    </row>
    <row r="18" spans="1:5">
      <c r="A18" t="s">
        <v>199</v>
      </c>
      <c r="B18" t="s">
        <v>200</v>
      </c>
      <c r="C18" s="4">
        <v>47.38</v>
      </c>
      <c r="D18" s="6">
        <v>42.25</v>
      </c>
      <c r="E18" t="s">
        <v>195</v>
      </c>
    </row>
    <row r="19" spans="1:5">
      <c r="A19" t="s">
        <v>199</v>
      </c>
      <c r="B19" t="s">
        <v>201</v>
      </c>
      <c r="C19" s="4">
        <v>58.11</v>
      </c>
      <c r="D19" s="6">
        <v>48.33</v>
      </c>
      <c r="E19" t="s">
        <v>195</v>
      </c>
    </row>
    <row r="20" spans="1:5">
      <c r="A20" t="s">
        <v>199</v>
      </c>
      <c r="B20" t="s">
        <v>202</v>
      </c>
      <c r="C20" s="4">
        <v>77.47</v>
      </c>
      <c r="D20" s="6">
        <v>64.5</v>
      </c>
      <c r="E20" t="s">
        <v>195</v>
      </c>
    </row>
    <row r="21" spans="1:5">
      <c r="A21" s="93" t="s">
        <v>199</v>
      </c>
      <c r="B21" s="93" t="s">
        <v>203</v>
      </c>
      <c r="C21" s="107">
        <v>88</v>
      </c>
      <c r="D21" s="110">
        <v>73</v>
      </c>
      <c r="E21" s="93" t="s">
        <v>195</v>
      </c>
    </row>
    <row r="22" spans="1:5">
      <c r="A22" s="93"/>
      <c r="B22" s="93"/>
    </row>
    <row r="24" spans="1:5" s="5" customFormat="1">
      <c r="A24" s="95" t="s">
        <v>204</v>
      </c>
      <c r="B24" s="95" t="s">
        <v>57</v>
      </c>
      <c r="C24" s="106" t="s">
        <v>179</v>
      </c>
      <c r="D24" s="95" t="s">
        <v>180</v>
      </c>
      <c r="E24" s="95"/>
    </row>
    <row r="25" spans="1:5">
      <c r="A25" t="s">
        <v>205</v>
      </c>
      <c r="B25">
        <v>3.25</v>
      </c>
      <c r="C25" s="4">
        <v>90.05</v>
      </c>
      <c r="D25">
        <v>1000</v>
      </c>
    </row>
    <row r="26" spans="1:5">
      <c r="B26">
        <v>3.75</v>
      </c>
      <c r="C26" s="4">
        <v>98.47</v>
      </c>
      <c r="D26">
        <v>1000</v>
      </c>
    </row>
    <row r="27" spans="1:5">
      <c r="B27">
        <v>4.5</v>
      </c>
      <c r="C27" s="4">
        <v>117.15</v>
      </c>
      <c r="D27">
        <v>1000</v>
      </c>
    </row>
    <row r="28" spans="1:5">
      <c r="B28">
        <v>5</v>
      </c>
      <c r="C28" s="4">
        <v>140.37</v>
      </c>
      <c r="D28">
        <v>1000</v>
      </c>
    </row>
    <row r="29" spans="1:5">
      <c r="B29">
        <v>6</v>
      </c>
      <c r="C29" s="4">
        <v>172.67</v>
      </c>
      <c r="D29">
        <v>1000</v>
      </c>
    </row>
    <row r="30" spans="1:5" s="5" customFormat="1">
      <c r="A30" s="95"/>
      <c r="B30" s="166">
        <v>7</v>
      </c>
      <c r="C30" s="167">
        <v>244.79</v>
      </c>
      <c r="D30" s="166">
        <v>1000</v>
      </c>
      <c r="E30" s="95"/>
    </row>
    <row r="31" spans="1:5">
      <c r="B31">
        <v>8</v>
      </c>
      <c r="C31" s="4">
        <v>276.01</v>
      </c>
      <c r="D31">
        <v>1000</v>
      </c>
    </row>
    <row r="32" spans="1:5">
      <c r="B32" s="97" t="s">
        <v>206</v>
      </c>
      <c r="C32" s="4" t="s">
        <v>207</v>
      </c>
    </row>
    <row r="34" spans="1:4">
      <c r="A34" s="104" t="s">
        <v>59</v>
      </c>
    </row>
    <row r="35" spans="1:4">
      <c r="A35" s="93" t="s">
        <v>208</v>
      </c>
      <c r="C35" s="4">
        <v>79.05</v>
      </c>
      <c r="D35">
        <v>1000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" sqref="B1"/>
    </sheetView>
  </sheetViews>
  <sheetFormatPr defaultRowHeight="12.75"/>
  <cols>
    <col min="1" max="4" width="15.7109375" customWidth="1"/>
  </cols>
  <sheetData>
    <row r="1" spans="1:4">
      <c r="A1" s="95" t="s">
        <v>209</v>
      </c>
      <c r="B1" s="11"/>
    </row>
    <row r="3" spans="1:4">
      <c r="B3" s="9">
        <f>IF(B1&lt;=100000,B1*0.0225,"")</f>
        <v>0</v>
      </c>
      <c r="C3" s="9" t="str">
        <f>IF(AND(B1&lt;=500000,B1&gt;100000), ((B1-100000)*0.015)+2250,"")</f>
        <v/>
      </c>
      <c r="D3" s="9" t="str">
        <f>IF(AND(B1&lt;=2500000,B1&gt;500000), ((B1-500000)*0.0105)+8250,"")</f>
        <v/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4b7e63f6c7192e55b27acfad67643150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d27fc14fabc9dd85cfdba61ea2e2640d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5eb4e53-0b43-4e28-991f-5aee810537ea" xsi:nil="true"/>
    <FolderCreatedDate xmlns="75eb4e53-0b43-4e28-991f-5aee810537ea" xsi:nil="true"/>
    <IconOverlay xmlns="http://schemas.microsoft.com/sharepoint/v4" xsi:nil="true"/>
    <ClosedLostReason xmlns="75eb4e53-0b43-4e28-991f-5aee810537ea" xsi:nil="true"/>
    <TaxCatchAll xmlns="4b82818a-8f70-42ae-9188-0d4dcde29678" xsi:nil="true"/>
    <LeadStatus xmlns="75eb4e53-0b43-4e28-991f-5aee810537ea" xsi:nil="true"/>
    <SourceofLead xmlns="75eb4e53-0b43-4e28-991f-5aee810537ea" xsi:nil="true"/>
    <DollarValue xmlns="75eb4e53-0b43-4e28-991f-5aee810537ea" xsi:nil="true"/>
    <lcf76f155ced4ddcb4097134ff3c332f xmlns="75eb4e53-0b43-4e28-991f-5aee810537ea">
      <Terms xmlns="http://schemas.microsoft.com/office/infopath/2007/PartnerControls"/>
    </lcf76f155ced4ddcb4097134ff3c332f>
    <_dlc_DocId xmlns="4b82818a-8f70-42ae-9188-0d4dcde29678">NJ25XDCPTP67-167323429-1068636</_dlc_DocId>
    <_dlc_DocIdUrl xmlns="4b82818a-8f70-42ae-9188-0d4dcde29678">
      <Url>https://aro365531128.sharepoint.com/sites/Data/_layouts/15/DocIdRedir.aspx?ID=NJ25XDCPTP67-167323429-1068636</Url>
      <Description>NJ25XDCPTP67-167323429-1068636</Description>
    </_dlc_DocIdUrl>
  </documentManagement>
</p:properties>
</file>

<file path=customXml/itemProps1.xml><?xml version="1.0" encoding="utf-8"?>
<ds:datastoreItem xmlns:ds="http://schemas.openxmlformats.org/officeDocument/2006/customXml" ds:itemID="{DF207342-DA16-4323-B8C3-CD6CE5946E2B}"/>
</file>

<file path=customXml/itemProps2.xml><?xml version="1.0" encoding="utf-8"?>
<ds:datastoreItem xmlns:ds="http://schemas.openxmlformats.org/officeDocument/2006/customXml" ds:itemID="{A86A57CC-DE6A-4F96-A74E-3B53281EB777}"/>
</file>

<file path=customXml/itemProps3.xml><?xml version="1.0" encoding="utf-8"?>
<ds:datastoreItem xmlns:ds="http://schemas.openxmlformats.org/officeDocument/2006/customXml" ds:itemID="{D2532E38-B3DC-43BD-8352-F82A97A820BB}"/>
</file>

<file path=customXml/itemProps4.xml><?xml version="1.0" encoding="utf-8"?>
<ds:datastoreItem xmlns:ds="http://schemas.openxmlformats.org/officeDocument/2006/customXml" ds:itemID="{BD215FEA-EE1E-4D2F-8630-280901064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Miller</dc:creator>
  <cp:keywords/>
  <dc:description/>
  <cp:lastModifiedBy/>
  <cp:revision/>
  <dcterms:created xsi:type="dcterms:W3CDTF">2005-10-17T20:30:19Z</dcterms:created>
  <dcterms:modified xsi:type="dcterms:W3CDTF">2026-07-01T18:30:02Z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_dlc_DocIdItemGuid">
    <vt:lpwstr>f9a727da-2708-4e78-a2dc-fdbeee357310</vt:lpwstr>
  </property>
  <property fmtid="{D5CDD505-2E9C-101B-9397-08002B2CF9AE}" pid="4" name="MediaServiceImageTags">
    <vt:lpwstr/>
  </property>
</Properties>
</file>